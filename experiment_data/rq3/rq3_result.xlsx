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filterPrivacy="1" codeName="ThisWorkbook" defaultThemeVersion="202300"/>
  <xr:revisionPtr revIDLastSave="0" documentId="13_ncr:1_{F020C022-3011-3F42-B5F9-BA1BE2EF35DF}" xr6:coauthVersionLast="47" xr6:coauthVersionMax="47" xr10:uidLastSave="{00000000-0000-0000-0000-000000000000}"/>
  <bookViews>
    <workbookView xWindow="0" yWindow="700" windowWidth="27040" windowHeight="16860" xr2:uid="{6D601580-07B3-5E42-AD3E-C510EB3FD172}"/>
  </bookViews>
  <sheets>
    <sheet name="bugoss-sast - vm1" sheetId="4" r:id="rId1"/>
  </sheets>
  <definedNames>
    <definedName name="_xlnm._FilterDatabase" localSheetId="0" hidden="1">'bugoss-sast - vm1'!$A$3:$J$21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5" i="4" l="1"/>
  <c r="BC25" i="4"/>
  <c r="BB25" i="4"/>
  <c r="BA25" i="4"/>
  <c r="AZ25" i="4"/>
  <c r="AY25" i="4"/>
  <c r="AX25" i="4"/>
  <c r="AW25" i="4"/>
  <c r="AV25" i="4"/>
  <c r="AU25" i="4"/>
  <c r="AT25" i="4"/>
  <c r="AS25" i="4"/>
  <c r="AO25" i="4"/>
  <c r="AN25" i="4"/>
  <c r="AM25" i="4"/>
  <c r="AR25" i="4"/>
  <c r="AQ25" i="4"/>
  <c r="AP25" i="4"/>
  <c r="BA27" i="4" l="1"/>
  <c r="Q38" i="4" s="1"/>
  <c r="AP27" i="4"/>
  <c r="R36" i="4" s="1"/>
  <c r="O45" i="4" s="1"/>
  <c r="AU27" i="4"/>
  <c r="Q37" i="4" s="1"/>
  <c r="T46" i="4" s="1"/>
  <c r="BB27" i="4"/>
  <c r="R38" i="4" s="1"/>
  <c r="O47" i="4" s="1"/>
  <c r="AM27" i="4"/>
  <c r="O36" i="4" s="1"/>
  <c r="AX27" i="4"/>
  <c r="T37" i="4" s="1"/>
  <c r="Q46" i="4" s="1"/>
  <c r="AN27" i="4"/>
  <c r="P36" i="4" s="1"/>
  <c r="AO27" i="4"/>
  <c r="Q36" i="4" s="1"/>
  <c r="AJ25" i="4"/>
  <c r="AH25" i="4"/>
  <c r="AK25" i="4"/>
  <c r="AI25" i="4"/>
  <c r="AL25" i="4"/>
  <c r="AA25" i="4"/>
  <c r="Y25" i="4"/>
  <c r="AB25" i="4"/>
  <c r="Z25" i="4"/>
  <c r="AC25" i="4"/>
  <c r="R25" i="4"/>
  <c r="P25" i="4"/>
  <c r="S25" i="4"/>
  <c r="Q25" i="4"/>
  <c r="T25" i="4"/>
  <c r="O25" i="4"/>
  <c r="A25" i="4"/>
  <c r="AE27" i="4" s="1"/>
  <c r="AG25" i="4"/>
  <c r="X25" i="4"/>
  <c r="U25" i="4"/>
  <c r="V25" i="4"/>
  <c r="R45" i="4" l="1"/>
  <c r="BD27" i="4"/>
  <c r="T38" i="4" s="1"/>
  <c r="Q47" i="4" s="1"/>
  <c r="AY27" i="4"/>
  <c r="O38" i="4" s="1"/>
  <c r="R47" i="4" s="1"/>
  <c r="T47" i="4"/>
  <c r="AW27" i="4"/>
  <c r="S37" i="4" s="1"/>
  <c r="P46" i="4" s="1"/>
  <c r="AR27" i="4"/>
  <c r="T36" i="4" s="1"/>
  <c r="Q45" i="4" s="1"/>
  <c r="T45" i="4" s="1"/>
  <c r="AZ27" i="4"/>
  <c r="P38" i="4" s="1"/>
  <c r="BC27" i="4"/>
  <c r="S38" i="4" s="1"/>
  <c r="P47" i="4" s="1"/>
  <c r="AV27" i="4"/>
  <c r="R37" i="4" s="1"/>
  <c r="O46" i="4" s="1"/>
  <c r="AS27" i="4"/>
  <c r="O37" i="4" s="1"/>
  <c r="R46" i="4" s="1"/>
  <c r="AQ27" i="4"/>
  <c r="S36" i="4" s="1"/>
  <c r="P45" i="4" s="1"/>
  <c r="S45" i="4" s="1"/>
  <c r="AT27" i="4"/>
  <c r="P37" i="4" s="1"/>
  <c r="AC27" i="4"/>
  <c r="T34" i="4" s="1"/>
  <c r="Q43" i="4" s="1"/>
  <c r="AJ27" i="4"/>
  <c r="R35" i="4" s="1"/>
  <c r="O44" i="4" s="1"/>
  <c r="P27" i="4"/>
  <c r="P33" i="4" s="1"/>
  <c r="Z27" i="4"/>
  <c r="Q34" i="4" s="1"/>
  <c r="R27" i="4"/>
  <c r="R33" i="4" s="1"/>
  <c r="O42" i="4" s="1"/>
  <c r="AB27" i="4"/>
  <c r="S34" i="4" s="1"/>
  <c r="P43" i="4" s="1"/>
  <c r="AL27" i="4"/>
  <c r="T35" i="4" s="1"/>
  <c r="Q44" i="4" s="1"/>
  <c r="Y27" i="4"/>
  <c r="P34" i="4" s="1"/>
  <c r="S43" i="4" s="1"/>
  <c r="AI27" i="4"/>
  <c r="Q35" i="4" s="1"/>
  <c r="T44" i="4" s="1"/>
  <c r="AA27" i="4"/>
  <c r="R34" i="4" s="1"/>
  <c r="O43" i="4" s="1"/>
  <c r="AK27" i="4"/>
  <c r="S35" i="4" s="1"/>
  <c r="P44" i="4" s="1"/>
  <c r="AH27" i="4"/>
  <c r="P35" i="4" s="1"/>
  <c r="S44" i="4" s="1"/>
  <c r="T27" i="4"/>
  <c r="T33" i="4" s="1"/>
  <c r="Q42" i="4" s="1"/>
  <c r="Q27" i="4"/>
  <c r="Q33" i="4" s="1"/>
  <c r="T42" i="4" s="1"/>
  <c r="S27" i="4"/>
  <c r="S33" i="4" s="1"/>
  <c r="P42" i="4" s="1"/>
  <c r="O27" i="4"/>
  <c r="O33" i="4" s="1"/>
  <c r="R42" i="4" s="1"/>
  <c r="U27" i="4"/>
  <c r="X27" i="4"/>
  <c r="O34" i="4" s="1"/>
  <c r="AG27" i="4"/>
  <c r="O35" i="4" s="1"/>
  <c r="V27" i="4"/>
  <c r="AD27" i="4"/>
  <c r="R43" i="4" l="1"/>
  <c r="S46" i="4"/>
  <c r="T43" i="4"/>
  <c r="R44" i="4"/>
  <c r="S42" i="4"/>
  <c r="S4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tc={BA503270-0CE8-2644-9177-5A3C73CFBFD2}</author>
    <author>tc={49312744-33EA-7649-BAEF-517C68F740F9}</author>
    <author>tc={14D39ED2-C01F-6D47-AE50-3807704EB6E6}</author>
  </authors>
  <commentList>
    <comment ref="J4" authorId="0" shapeId="0" xr:uid="{BA503270-0CE8-2644-9177-5A3C73CFBFD2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generate corpus script requires release build--failed, debug build succeeded</t>
      </text>
    </comment>
    <comment ref="J8" authorId="1" shapeId="0" xr:uid="{49312744-33EA-7649-BAEF-517C68F740F9}">
      <text>
        <t>[Threaded comment]
Your version of Excel allows you to read this threaded comment; however, any edits to it will get removed if the file is opened in a newer version of Excel. Learn more: https://go.microsoft.com/fwlink/?linkid=870924
Comment:
    oss-fuzz target does not compile (undeclared strdup), use embed fuzz target</t>
      </text>
    </comment>
    <comment ref="J21" authorId="2" shapeId="0" xr:uid="{14D39ED2-C01F-6D47-AE50-3807704EB6E6}">
      <text>
        <t>[Threaded comment]
Your version of Excel allows you to read this threaded comment; however, any edits to it will get removed if the file is opened in a newer version of Excel. Learn more: https://go.microsoft.com/fwlink/?linkid=870924
Comment:
    fuzz helper script failed, use of undeclared identifier in BugOss target</t>
      </text>
    </comment>
  </commentList>
</comments>
</file>

<file path=xl/sharedStrings.xml><?xml version="1.0" encoding="utf-8"?>
<sst xmlns="http://schemas.openxmlformats.org/spreadsheetml/2006/main" count="381" uniqueCount="192">
  <si>
    <t>Bug</t>
  </si>
  <si>
    <t>arrow-40653</t>
  </si>
  <si>
    <t>aspell-18462</t>
  </si>
  <si>
    <t>curl-8000</t>
  </si>
  <si>
    <t>exiv2-50315</t>
  </si>
  <si>
    <t>file-30222</t>
  </si>
  <si>
    <t>grok-28418</t>
  </si>
  <si>
    <t>harfbuzz-55779</t>
  </si>
  <si>
    <t>leptonica-25212</t>
  </si>
  <si>
    <t>libarchive-44843</t>
  </si>
  <si>
    <t>libhtp-17198</t>
  </si>
  <si>
    <t>libxml2-17737</t>
  </si>
  <si>
    <t>ndpi-49057</t>
  </si>
  <si>
    <t>openh264-26220</t>
  </si>
  <si>
    <t>openssl-17715</t>
  </si>
  <si>
    <t>pcapplusplus-23592</t>
  </si>
  <si>
    <t>readstat-13262</t>
  </si>
  <si>
    <t>usrsctp-18080</t>
  </si>
  <si>
    <t>zstd-21970</t>
  </si>
  <si>
    <t>Bug_inducing_commit</t>
  </si>
  <si>
    <t>Bug_failure_commit</t>
  </si>
  <si>
    <t>Bug_fixing_commit</t>
  </si>
  <si>
    <t>1fbcf4098ba2aefe241de8d7ceb229b995d8daec</t>
  </si>
  <si>
    <t>664f881008f40356c0502c8cc154e17e3c80e353</t>
  </si>
  <si>
    <t>99a864a1f7a9cb59865f803770d7d62fb47cad69</t>
  </si>
  <si>
    <t>93e6af95ec46bbba5e112a1fbdbdb6a1294d61d8</t>
  </si>
  <si>
    <t>1cb27625e7237a1a03a1c9ad67bc1f006473aa35</t>
  </si>
  <si>
    <t>3c5b62c116733e434508a8673c2d466776b27eed</t>
  </si>
  <si>
    <t>fdc6a79b1028c8dae086ccba1cd6ce9f66f90fcb</t>
  </si>
  <si>
    <t>bf67ec74635db2183619601f025e4724bd5a6b75</t>
  </si>
  <si>
    <t>280d4069f189369ecc49c68b79b6d6cb7f2d6b93</t>
  </si>
  <si>
    <t>e0646f9b063b23754951f1254f1ecb7af8ca36f3</t>
  </si>
  <si>
    <t>0718b375425aad8e54e1150313b862e4c6fd324a</t>
  </si>
  <si>
    <t>ba67f7d65a42e63eccfe0bcc87f82682d6e4cc9e</t>
  </si>
  <si>
    <t>dd7521bcc1b7a6fcb53c31f9bd1192fcc884bd56</t>
  </si>
  <si>
    <t>3c630f9b0af097663a64e5c875c580aa9808a92b</t>
  </si>
  <si>
    <t>88fcd234bbb5e3fca03171b81c8d0e84b2619b26</t>
  </si>
  <si>
    <t>10a62b23500954abf7eb2cc3e577bebb21bb0b72</t>
  </si>
  <si>
    <t>7a92e1bd0f8a1435eed7743e3aeadcb73f63182d</t>
  </si>
  <si>
    <t>6de3683de955277c4be4be350ec683b3203d3f31</t>
  </si>
  <si>
    <t>9c74f7b258cfe17b8c7f6eaaf6bbbf4ed14017d0</t>
  </si>
  <si>
    <t>2b2f0e892c47c7b65b5c55ebf92ad77ff1dc14f3</t>
  </si>
  <si>
    <t>3fd9311649e2e0e5e2bfbe27c082e3f2dbc797f5</t>
  </si>
  <si>
    <t>8708b9e081192786c027bb7f5f23d76dbe5c19e8</t>
  </si>
  <si>
    <t>64fa5cd482d0be2e215998aa1c2a05b978133e7c</t>
  </si>
  <si>
    <t>8fc49016cf44ecbbab28979442e2781bd064584e</t>
  </si>
  <si>
    <t>dfde88c09a37ccced3c2e08b2db971145f4ac279</t>
  </si>
  <si>
    <t>f301010cd4495a11d96504642737a85c386e6618</t>
  </si>
  <si>
    <t>72ce1ff7c6857a7334baa05884e69b9264a2199c</t>
  </si>
  <si>
    <t>52efa50c69653029687bfc545703b7340b7a51e2</t>
  </si>
  <si>
    <t>1271f775dc917798ad7d03c3b3bd66bacad03603</t>
  </si>
  <si>
    <t>75cbbbd405695e97567931655fd5a441f86e5836</t>
  </si>
  <si>
    <t>3c6555078ec30e0baa4855ec69d55a22fc8d3589</t>
  </si>
  <si>
    <t>fe16fa764f7cea57be5a288ee85b27dffc460f6f</t>
  </si>
  <si>
    <t>9c235796af60977ba316c612d4a02014896127f8</t>
  </si>
  <si>
    <t>2edfaeba4ada90ca8771a44132d2b9cc85e45570</t>
  </si>
  <si>
    <t>407155755da29734e9b8a8e7a6960c568b1d3188</t>
  </si>
  <si>
    <t>83a0eae9bbbda5bfe802438109a025a3d7caee10</t>
  </si>
  <si>
    <t>effb3931c7c67f34b167fe6e0a93253bf075f78c</t>
  </si>
  <si>
    <t>4c76c67e9b790fd40650c4e8a2a059603e8ce195</t>
  </si>
  <si>
    <t>5a2a2f66c5e79895400c6e895ce7f8d48db96bb8</t>
  </si>
  <si>
    <t>4baee2d72e0c82bfd6de085df23a1bdc6af887ba</t>
  </si>
  <si>
    <t>aec9667bd19a8ca9bdd519db3a231a95b9e92674</t>
  </si>
  <si>
    <t>14a418ed4f9b72a832877dc8330e01259f617bf3</t>
  </si>
  <si>
    <t>50aab202d24331ef35b9eff68d96ef9f97baf6a1</t>
  </si>
  <si>
    <t>31406a092868f87d714910e349ab0b4dc683722b</t>
  </si>
  <si>
    <t>bd7b41057a5670b90ea77bf4ea5b5d9ae5b20129</t>
  </si>
  <si>
    <t>1de4f389a8ffb07775cb1d99e33cbfa7e96bccf2</t>
  </si>
  <si>
    <t>f57262da9966803ee97a5cecfe24512d38c3625e</t>
  </si>
  <si>
    <t>1ab1d69ce8cbf20a4d0d1e41de6b5c11cd24da7</t>
  </si>
  <si>
    <t>05bea46702687f26a81c41c3fb1fd1dd3d9c0aa1</t>
  </si>
  <si>
    <t>b7e98787c4698521b7adc771ee919a74e83f28ed</t>
  </si>
  <si>
    <t>da2748a855821aa7edc9080997119e44c96d657c</t>
  </si>
  <si>
    <t>0ed07f6dfe942627e7724e5b910e23ec3cd8ece8</t>
  </si>
  <si>
    <t>5717bd39ee1bd5d2855023652336deeb722a57d5</t>
  </si>
  <si>
    <t>4903b806b22727f8683812a703158c3a785afbbd</t>
  </si>
  <si>
    <t>Bug_free_commit</t>
  </si>
  <si>
    <t>done</t>
  </si>
  <si>
    <t>libfuzzer</t>
  </si>
  <si>
    <t>aflplusplus</t>
  </si>
  <si>
    <t>Project_preparation</t>
  </si>
  <si>
    <t>note: see progress slide for block and variable selection criteria</t>
  </si>
  <si>
    <t>421733475385300004093f13b451f5f382ff365c</t>
  </si>
  <si>
    <t>e6c22368c6e5426ec2b1cb8a3041ebc98d0ad402</t>
  </si>
  <si>
    <t>bc5e450fc020dc928dfecf7f82c9e7129bf2f2e3</t>
  </si>
  <si>
    <t>7a96867f31d60eece6c2b00dc2bbfffe18d4ce44</t>
  </si>
  <si>
    <t>7cbc03a7c3df89d2e93f15ff9d4714f7757f4931</t>
  </si>
  <si>
    <t>661050b4659ee490dfe622821bc7fde7d1c40510</t>
  </si>
  <si>
    <t>46b8f565f244641b53090d1f06b633c7dc6d366b</t>
  </si>
  <si>
    <t>203beeef05f8c7bedd4692b35cf2fbe38c9330b8</t>
  </si>
  <si>
    <t>4af83bbfe082056f8f5e2b2ce7f8cf31ac2bd4fb</t>
  </si>
  <si>
    <t>997dce0f04816b4d8440f1cfa924a89e7cee4846</t>
  </si>
  <si>
    <t>23d97aacd8fde711eb9ebf35d8381bc025b13a71</t>
  </si>
  <si>
    <t>6922740facabcc1d1509cd9e72dd837a60a91d2c</t>
  </si>
  <si>
    <t>0a62fd3e959813ca41d71d42c86aa7cf1f55ced0</t>
  </si>
  <si>
    <t>d1bfd735515803800cb9708e3fca9e5c1e8e7a48</t>
  </si>
  <si>
    <t>1a7de8f9d8a419b358faa219ee0d75ae14ddd5f7</t>
  </si>
  <si>
    <t>f17ac423b21fffdc2918daafe41a5eae0478b249</t>
  </si>
  <si>
    <t>0762c9b69ba01628f72eada1c64ff3d361fb5716</t>
  </si>
  <si>
    <t>Own_pipeline_experiment</t>
  </si>
  <si>
    <t>setup_on_vm1</t>
  </si>
  <si>
    <t>codechecker</t>
  </si>
  <si>
    <t>run_tool</t>
  </si>
  <si>
    <t>transform_result</t>
  </si>
  <si>
    <t>codeql</t>
  </si>
  <si>
    <t>flawfinder</t>
  </si>
  <si>
    <t>dnoe</t>
  </si>
  <si>
    <t>empty result</t>
  </si>
  <si>
    <t>1605 warnings, 1 hit file, no function</t>
  </si>
  <si>
    <t>247 warnings, 4 hit file, no hit function</t>
  </si>
  <si>
    <t>52 warnings, no hit file</t>
  </si>
  <si>
    <t>132 warnings, 8 hit file, no hit function</t>
  </si>
  <si>
    <t>72 warnings, 3 hit file, no hit function</t>
  </si>
  <si>
    <t>103 warnings, no hit file</t>
  </si>
  <si>
    <t>573 warnings, no hit file</t>
  </si>
  <si>
    <t>1121 warnings, 6 hit file, no hit function</t>
  </si>
  <si>
    <t>16 warnings, no hit file</t>
  </si>
  <si>
    <t>53 warnings, 10 hit file, no hit function</t>
  </si>
  <si>
    <t>1160 warnings, 6 hit file, no hit function</t>
  </si>
  <si>
    <t>522 warnings, 4 hit file, no hit function</t>
  </si>
  <si>
    <t>653 warnings, 1 hit file, no hit function</t>
  </si>
  <si>
    <t>72 warnings, 1 hit file, no hit function</t>
  </si>
  <si>
    <t>1968 warnings, 2 hit file, no hit function</t>
  </si>
  <si>
    <t>104 warnings, no hit file</t>
  </si>
  <si>
    <t>154 warnings, 5 hit file, no hit function</t>
  </si>
  <si>
    <t>1149 warnings, 1 hit file, no hit function</t>
  </si>
  <si>
    <t>29 warnings, 1 hit file, no hit function</t>
  </si>
  <si>
    <t>74 warnings, 4 hit file, no hit function</t>
  </si>
  <si>
    <t>target file</t>
  </si>
  <si>
    <t>target function</t>
  </si>
  <si>
    <t>target block</t>
  </si>
  <si>
    <t>128 warnings, 2 hit file, 1 hit function, 1 hit block</t>
  </si>
  <si>
    <t>111 warnings, 10 hit file, 10 hit function, 10 hit block</t>
  </si>
  <si>
    <t>915 warnings, 74 hit file, 2 hit function, 0 hit block</t>
  </si>
  <si>
    <t>564 warnings, 1 hit file, 1 hit function, 1 hit block</t>
  </si>
  <si>
    <t>641 warnings, 26 hit file, 4 hit function, 4 hit block</t>
  </si>
  <si>
    <t>115 warnings, 2 hit file, 1 hit function, 1 hit block</t>
  </si>
  <si>
    <t>271 warnings, 10 hit file, no hit function</t>
  </si>
  <si>
    <t>500 warnings, 21 hit file, no hit function</t>
  </si>
  <si>
    <t>127 warnings, 2 hit file, no hit function</t>
  </si>
  <si>
    <t>997 warnings, 3 hit file, no hit function</t>
  </si>
  <si>
    <t>3278 warnings, 19 hit file, no hit function</t>
  </si>
  <si>
    <t>172 warnings, 2 hit file, no hit function</t>
  </si>
  <si>
    <t>399 warnings, 19 hit file, no hit function</t>
  </si>
  <si>
    <t>307 warnings, 17 hit file, no hit function</t>
  </si>
  <si>
    <t>1713 warnings, 3 hit file, no hit function</t>
  </si>
  <si>
    <t>470 warnings, 2 hit file, no hit function</t>
  </si>
  <si>
    <t>418 warnings, 4 hit file, no hit function</t>
  </si>
  <si>
    <t>1860 warnings, 4 hit file, no hit function</t>
  </si>
  <si>
    <t>165 warnings, 9 hit file, no hit function</t>
  </si>
  <si>
    <t>2095 warnings, 34 hit file, no hit function</t>
  </si>
  <si>
    <t>311 warnings, no hit file</t>
  </si>
  <si>
    <t>424 warnings, 2 hit file, no hit function</t>
  </si>
  <si>
    <t>8141 warnings, 28 hit file, no hit function</t>
  </si>
  <si>
    <t>1752 warnings, 4 hit file, no hit function</t>
  </si>
  <si>
    <t>430 warnings, 11 hit file, no hit function</t>
  </si>
  <si>
    <t>721 warnings, 16 hit file, no hit function</t>
  </si>
  <si>
    <t>1147 warnings, 1 hit file, no hit function</t>
  </si>
  <si>
    <t>4041 warnings, 4 hit file, no hit function</t>
  </si>
  <si>
    <t>197 warnings, 12 hit file, no hit function</t>
  </si>
  <si>
    <t>993 warnings, 23 hit file, no hit function</t>
  </si>
  <si>
    <t>275 warnings, 5 hit file, no hit function</t>
  </si>
  <si>
    <t>925 warnings, 15 hit file, no hit function</t>
  </si>
  <si>
    <t>1105 warnings, 9 hit file, no hit function</t>
  </si>
  <si>
    <t>honggfuzz</t>
  </si>
  <si>
    <t>raw_analyze_result</t>
  </si>
  <si>
    <t>file_hit</t>
  </si>
  <si>
    <t>FuzzInvRev</t>
  </si>
  <si>
    <t>CodeChecker</t>
  </si>
  <si>
    <t>CodeQL</t>
  </si>
  <si>
    <t>Flawfinder</t>
  </si>
  <si>
    <t>FuzzInvRev - AFLPlusPlus</t>
  </si>
  <si>
    <t>FuzzInvRev - libFuzzer</t>
  </si>
  <si>
    <t>FuzzInvRev - Honggfuzz</t>
  </si>
  <si>
    <t>buggy_block</t>
  </si>
  <si>
    <t>buggy_function</t>
  </si>
  <si>
    <t>buggy_file</t>
  </si>
  <si>
    <t>Changed File</t>
  </si>
  <si>
    <t>Changed Block</t>
  </si>
  <si>
    <t>Buggy Block</t>
  </si>
  <si>
    <t>Buggy Function</t>
  </si>
  <si>
    <t>Buggy File</t>
  </si>
  <si>
    <t>Changed Function</t>
  </si>
  <si>
    <t>hit count</t>
  </si>
  <si>
    <t>hit rate</t>
  </si>
  <si>
    <t>changed_file</t>
  </si>
  <si>
    <t>changed_function</t>
  </si>
  <si>
    <t>changed_block</t>
  </si>
  <si>
    <t>Non-Buggy File</t>
  </si>
  <si>
    <t>Non-Buggy Function</t>
  </si>
  <si>
    <t>Non-Buggy Block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</si>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</sst>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6100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2" borderId="0" applyNumberFormat="0" applyBorder="0" applyAlignment="0" applyProtection="0"/>
  </cellStyleXfs>
  <cellXfs count="14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0" fillId="0" borderId="1" xfId="0" applyBorder="1"/>
    <xf numFmtId="0" fontId="5" fillId="0" borderId="0" xfId="0" applyFont="1"/>
    <xf numFmtId="0" fontId="6" fillId="2" borderId="0" xfId="2"/>
    <xf numFmtId="0" fontId="7" fillId="0" borderId="0" xfId="1" applyFont="1"/>
    <xf numFmtId="0" fontId="6" fillId="2" borderId="1" xfId="2" applyBorder="1"/>
    <xf numFmtId="0" fontId="3" fillId="0" borderId="0" xfId="0" applyFont="1" applyAlignment="1">
      <alignment horizontal="center"/>
    </xf>
    <xf numFmtId="2" fontId="0" fillId="0" borderId="0" xfId="0" applyNumberFormat="1"/>
    <xf numFmtId="0" fontId="3" fillId="0" borderId="0" xfId="0" applyFont="1" applyAlignment="1">
      <alignment horizontal="center"/>
    </xf>
  </cellXfs>
  <cellStyles count="3">
    <cellStyle name="Good" xfId="2" builtinId="26"/>
    <cellStyle name="Hyperlink" xfId="1" builtinId="8"/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Hit</a:t>
            </a:r>
            <a:r>
              <a:rPr lang="en-US" baseline="0"/>
              <a:t> rates (changed/buggy) in three granularities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'bugoss-sast - vm1'!$N$33</c:f>
              <c:strCache>
                <c:ptCount val="1"/>
                <c:pt idx="0">
                  <c:v>CodeChecker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'bugoss-sast - vm1'!$O$32:$T$32</c:f>
              <c:strCache>
                <c:ptCount val="6"/>
                <c:pt idx="0">
                  <c:v>Changed File</c:v>
                </c:pt>
                <c:pt idx="1">
                  <c:v>Changed Function</c:v>
                </c:pt>
                <c:pt idx="2">
                  <c:v>Changed Block</c:v>
                </c:pt>
                <c:pt idx="3">
                  <c:v>Buggy File</c:v>
                </c:pt>
                <c:pt idx="4">
                  <c:v>Buggy Function</c:v>
                </c:pt>
                <c:pt idx="5">
                  <c:v>Buggy Block</c:v>
                </c:pt>
              </c:strCache>
            </c:strRef>
          </c:cat>
          <c:val>
            <c:numRef>
              <c:f>'bugoss-sast - vm1'!$O$33:$T$33</c:f>
              <c:numCache>
                <c:formatCode>0.00</c:formatCode>
                <c:ptCount val="6"/>
                <c:pt idx="0">
                  <c:v>0.72222222222222221</c:v>
                </c:pt>
                <c:pt idx="1">
                  <c:v>0.22222222222222221</c:v>
                </c:pt>
                <c:pt idx="2">
                  <c:v>0.16666666666666666</c:v>
                </c:pt>
                <c:pt idx="3">
                  <c:v>0.72222222222222221</c:v>
                </c:pt>
                <c:pt idx="4">
                  <c:v>0.1111111111111111</c:v>
                </c:pt>
                <c:pt idx="5">
                  <c:v>5.5555555555555552E-2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A-5840-9A87-E4108AADD782}"/>
            </c:ext>
          </c:extLst>
        </c:ser>
        <c:ser>
          <c:idx val="1"/>
          <c:order val="1"/>
          <c:tx>
            <c:strRef>
              <c:f>'bugoss-sast - vm1'!$N$34</c:f>
              <c:strCache>
                <c:ptCount val="1"/>
                <c:pt idx="0">
                  <c:v>CodeQL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'bugoss-sast - vm1'!$O$32:$T$32</c:f>
              <c:strCache>
                <c:ptCount val="6"/>
                <c:pt idx="0">
                  <c:v>Changed File</c:v>
                </c:pt>
                <c:pt idx="1">
                  <c:v>Changed Function</c:v>
                </c:pt>
                <c:pt idx="2">
                  <c:v>Changed Block</c:v>
                </c:pt>
                <c:pt idx="3">
                  <c:v>Buggy File</c:v>
                </c:pt>
                <c:pt idx="4">
                  <c:v>Buggy Function</c:v>
                </c:pt>
                <c:pt idx="5">
                  <c:v>Buggy Block</c:v>
                </c:pt>
              </c:strCache>
            </c:strRef>
          </c:cat>
          <c:val>
            <c:numRef>
              <c:f>'bugoss-sast - vm1'!$O$34:$T$34</c:f>
              <c:numCache>
                <c:formatCode>0.00</c:formatCode>
                <c:ptCount val="6"/>
                <c:pt idx="0">
                  <c:v>0.94444444444444442</c:v>
                </c:pt>
                <c:pt idx="1">
                  <c:v>0.44444444444444442</c:v>
                </c:pt>
                <c:pt idx="2">
                  <c:v>0.1111111111111111</c:v>
                </c:pt>
                <c:pt idx="3">
                  <c:v>0.94444444444444442</c:v>
                </c:pt>
                <c:pt idx="4">
                  <c:v>0.44444444444444442</c:v>
                </c:pt>
                <c:pt idx="5">
                  <c:v>5.5555555555555552E-2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EA-5840-9A87-E4108AADD782}"/>
            </c:ext>
          </c:extLst>
        </c:ser>
        <c:ser>
          <c:idx val="2"/>
          <c:order val="2"/>
          <c:tx>
            <c:strRef>
              <c:f>'bugoss-sast - vm1'!$N$35</c:f>
              <c:strCache>
                <c:ptCount val="1"/>
                <c:pt idx="0">
                  <c:v>Flawfinder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'bugoss-sast - vm1'!$O$32:$T$32</c:f>
              <c:strCache>
                <c:ptCount val="6"/>
                <c:pt idx="0">
                  <c:v>Changed File</c:v>
                </c:pt>
                <c:pt idx="1">
                  <c:v>Changed Function</c:v>
                </c:pt>
                <c:pt idx="2">
                  <c:v>Changed Block</c:v>
                </c:pt>
                <c:pt idx="3">
                  <c:v>Buggy File</c:v>
                </c:pt>
                <c:pt idx="4">
                  <c:v>Buggy Function</c:v>
                </c:pt>
                <c:pt idx="5">
                  <c:v>Buggy Block</c:v>
                </c:pt>
              </c:strCache>
            </c:strRef>
          </c:cat>
          <c:val>
            <c:numRef>
              <c:f>'bugoss-sast - vm1'!$O$35:$T$35</c:f>
              <c:numCache>
                <c:formatCode>0.00</c:formatCode>
                <c:ptCount val="6"/>
                <c:pt idx="0">
                  <c:v>0.94444444444444442</c:v>
                </c:pt>
                <c:pt idx="1">
                  <c:v>0</c:v>
                </c:pt>
                <c:pt idx="2">
                  <c:v>0</c:v>
                </c:pt>
                <c:pt idx="3">
                  <c:v>0.88888888888888884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EA-5840-9A87-E4108AADD782}"/>
            </c:ext>
          </c:extLst>
        </c:ser>
        <c:ser>
          <c:idx val="3"/>
          <c:order val="3"/>
          <c:tx>
            <c:strRef>
              <c:f>'bugoss-sast - vm1'!$N$36</c:f>
              <c:strCache>
                <c:ptCount val="1"/>
                <c:pt idx="0">
                  <c:v>FuzzInvRev - AFLPlusPlus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'bugoss-sast - vm1'!$O$32:$T$32</c:f>
              <c:strCache>
                <c:ptCount val="6"/>
                <c:pt idx="0">
                  <c:v>Changed File</c:v>
                </c:pt>
                <c:pt idx="1">
                  <c:v>Changed Function</c:v>
                </c:pt>
                <c:pt idx="2">
                  <c:v>Changed Block</c:v>
                </c:pt>
                <c:pt idx="3">
                  <c:v>Buggy File</c:v>
                </c:pt>
                <c:pt idx="4">
                  <c:v>Buggy Function</c:v>
                </c:pt>
                <c:pt idx="5">
                  <c:v>Buggy Block</c:v>
                </c:pt>
              </c:strCache>
            </c:strRef>
          </c:cat>
          <c:val>
            <c:numRef>
              <c:f>'bugoss-sast - vm1'!$O$36:$T$36</c:f>
              <c:numCache>
                <c:formatCode>0.00</c:formatCode>
                <c:ptCount val="6"/>
                <c:pt idx="0">
                  <c:v>0.61111111111111116</c:v>
                </c:pt>
                <c:pt idx="1">
                  <c:v>0.61111111111111116</c:v>
                </c:pt>
                <c:pt idx="2">
                  <c:v>0.61111111111111116</c:v>
                </c:pt>
                <c:pt idx="3">
                  <c:v>0.61111111111111116</c:v>
                </c:pt>
                <c:pt idx="4">
                  <c:v>0.61111111111111116</c:v>
                </c:pt>
                <c:pt idx="5">
                  <c:v>0.61111111111111116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EA-5840-9A87-E4108AADD782}"/>
            </c:ext>
          </c:extLst>
        </c:ser>
        <c:ser>
          <c:idx val="4"/>
          <c:order val="4"/>
          <c:tx>
            <c:strRef>
              <c:f>'bugoss-sast - vm1'!$N$37</c:f>
              <c:strCache>
                <c:ptCount val="1"/>
                <c:pt idx="0">
                  <c:v>FuzzInvRev - Honggfuzz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'bugoss-sast - vm1'!$O$32:$T$32</c:f>
              <c:strCache>
                <c:ptCount val="6"/>
                <c:pt idx="0">
                  <c:v>Changed File</c:v>
                </c:pt>
                <c:pt idx="1">
                  <c:v>Changed Function</c:v>
                </c:pt>
                <c:pt idx="2">
                  <c:v>Changed Block</c:v>
                </c:pt>
                <c:pt idx="3">
                  <c:v>Buggy File</c:v>
                </c:pt>
                <c:pt idx="4">
                  <c:v>Buggy Function</c:v>
                </c:pt>
                <c:pt idx="5">
                  <c:v>Buggy Block</c:v>
                </c:pt>
              </c:strCache>
            </c:strRef>
          </c:cat>
          <c:val>
            <c:numRef>
              <c:f>'bugoss-sast - vm1'!$O$37:$T$37</c:f>
              <c:numCache>
                <c:formatCode>0.00</c:formatCode>
                <c:ptCount val="6"/>
                <c:pt idx="0">
                  <c:v>0.61111111111111116</c:v>
                </c:pt>
                <c:pt idx="1">
                  <c:v>0.61111111111111116</c:v>
                </c:pt>
                <c:pt idx="2">
                  <c:v>0.61111111111111116</c:v>
                </c:pt>
                <c:pt idx="3">
                  <c:v>0.55555555555555558</c:v>
                </c:pt>
                <c:pt idx="4">
                  <c:v>0.55555555555555558</c:v>
                </c:pt>
                <c:pt idx="5">
                  <c:v>0.55555555555555558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EA-5840-9A87-E4108AADD782}"/>
            </c:ext>
          </c:extLst>
        </c:ser>
        <c:ser>
          <c:idx val="5"/>
          <c:order val="5"/>
          <c:tx>
            <c:strRef>
              <c:f>'bugoss-sast - vm1'!$N$38</c:f>
              <c:strCache>
                <c:ptCount val="1"/>
                <c:pt idx="0">
                  <c:v>FuzzInvRev - libFuzzer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'bugoss-sast - vm1'!$O$32:$T$32</c:f>
              <c:strCache>
                <c:ptCount val="6"/>
                <c:pt idx="0">
                  <c:v>Changed File</c:v>
                </c:pt>
                <c:pt idx="1">
                  <c:v>Changed Function</c:v>
                </c:pt>
                <c:pt idx="2">
                  <c:v>Changed Block</c:v>
                </c:pt>
                <c:pt idx="3">
                  <c:v>Buggy File</c:v>
                </c:pt>
                <c:pt idx="4">
                  <c:v>Buggy Function</c:v>
                </c:pt>
                <c:pt idx="5">
                  <c:v>Buggy Block</c:v>
                </c:pt>
              </c:strCache>
            </c:strRef>
          </c:cat>
          <c:val>
            <c:numRef>
              <c:f>'bugoss-sast - vm1'!$O$38:$T$38</c:f>
              <c:numCache>
                <c:formatCode>0.00</c:formatCode>
                <c:ptCount val="6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EA-5840-9A87-E4108AADD7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480624"/>
        <c:axId val="1640422303"/>
      </c:barChart>
      <c:catAx>
        <c:axId val="464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422303"/>
        <c:crosses val="autoZero"/>
        <c:auto val="1"/>
        <c:lblAlgn val="ctr"/>
        <c:lblOffset val="100"/>
        <c:noMultiLvlLbl val="0"/>
      </c:catAx>
      <c:valAx>
        <c:axId val="164042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bugs </a:t>
            </a:r>
            <a:r>
              <a:rPr lang="en-US" baseline="0"/>
              <a:t> detected in different granularities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'bugoss-sast - vm1'!$N$42</c:f>
              <c:strCache>
                <c:ptCount val="1"/>
                <c:pt idx="0">
                  <c:v>CodeChecker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'bugoss-sast - vm1'!$O$41:$T$41</c:f>
              <c:strCache>
                <c:ptCount val="6"/>
                <c:pt idx="0">
                  <c:v>Buggy File</c:v>
                </c:pt>
                <c:pt idx="1">
                  <c:v>Buggy Function</c:v>
                </c:pt>
                <c:pt idx="2">
                  <c:v>Buggy Block</c:v>
                </c:pt>
                <c:pt idx="3">
                  <c:v>Non-Buggy File</c:v>
                </c:pt>
                <c:pt idx="4">
                  <c:v>Non-Buggy Function</c:v>
                </c:pt>
                <c:pt idx="5">
                  <c:v>Non-Buggy Block</c:v>
                </c:pt>
              </c:strCache>
            </c:strRef>
          </c:cat>
          <c:val>
            <c:numRef>
              <c:f>'bugoss-sast - vm1'!$O$42:$T$42</c:f>
              <c:numCache>
                <c:formatCode>0.00</c:formatCode>
                <c:ptCount val="6"/>
                <c:pt idx="0">
                  <c:v>0.72222222222222221</c:v>
                </c:pt>
                <c:pt idx="1">
                  <c:v>0.1111111111111111</c:v>
                </c:pt>
                <c:pt idx="2">
                  <c:v>5.5555555555555552E-2</c:v>
                </c:pt>
                <c:pt idx="3">
                  <c:v>0</c:v>
                </c:pt>
                <c:pt idx="4">
                  <c:v>0.1111111111111111</c:v>
                </c:pt>
                <c:pt idx="5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3-3442-A396-A81A199167E7}"/>
            </c:ext>
          </c:extLst>
        </c:ser>
        <c:ser>
          <c:idx val="1"/>
          <c:order val="1"/>
          <c:tx>
            <c:strRef>
              <c:f>'bugoss-sast - vm1'!$N$43</c:f>
              <c:strCache>
                <c:ptCount val="1"/>
                <c:pt idx="0">
                  <c:v>CodeQL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'bugoss-sast - vm1'!$O$41:$T$41</c:f>
              <c:strCache>
                <c:ptCount val="6"/>
                <c:pt idx="0">
                  <c:v>Buggy File</c:v>
                </c:pt>
                <c:pt idx="1">
                  <c:v>Buggy Function</c:v>
                </c:pt>
                <c:pt idx="2">
                  <c:v>Buggy Block</c:v>
                </c:pt>
                <c:pt idx="3">
                  <c:v>Non-Buggy File</c:v>
                </c:pt>
                <c:pt idx="4">
                  <c:v>Non-Buggy Function</c:v>
                </c:pt>
                <c:pt idx="5">
                  <c:v>Non-Buggy Block</c:v>
                </c:pt>
              </c:strCache>
            </c:strRef>
          </c:cat>
          <c:val>
            <c:numRef>
              <c:f>'bugoss-sast - vm1'!$O$43:$T$43</c:f>
              <c:numCache>
                <c:formatCode>0.00</c:formatCode>
                <c:ptCount val="6"/>
                <c:pt idx="0">
                  <c:v>0.94444444444444442</c:v>
                </c:pt>
                <c:pt idx="1">
                  <c:v>0.44444444444444442</c:v>
                </c:pt>
                <c:pt idx="2">
                  <c:v>5.5555555555555552E-2</c:v>
                </c:pt>
                <c:pt idx="3">
                  <c:v>0</c:v>
                </c:pt>
                <c:pt idx="4">
                  <c:v>0</c:v>
                </c:pt>
                <c:pt idx="5">
                  <c:v>5.5555555555555552E-2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3-3442-A396-A81A199167E7}"/>
            </c:ext>
          </c:extLst>
        </c:ser>
        <c:ser>
          <c:idx val="2"/>
          <c:order val="2"/>
          <c:tx>
            <c:strRef>
              <c:f>'bugoss-sast - vm1'!$N$44</c:f>
              <c:strCache>
                <c:ptCount val="1"/>
                <c:pt idx="0">
                  <c:v>Flawfinder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'bugoss-sast - vm1'!$O$41:$T$41</c:f>
              <c:strCache>
                <c:ptCount val="6"/>
                <c:pt idx="0">
                  <c:v>Buggy File</c:v>
                </c:pt>
                <c:pt idx="1">
                  <c:v>Buggy Function</c:v>
                </c:pt>
                <c:pt idx="2">
                  <c:v>Buggy Block</c:v>
                </c:pt>
                <c:pt idx="3">
                  <c:v>Non-Buggy File</c:v>
                </c:pt>
                <c:pt idx="4">
                  <c:v>Non-Buggy Function</c:v>
                </c:pt>
                <c:pt idx="5">
                  <c:v>Non-Buggy Block</c:v>
                </c:pt>
              </c:strCache>
            </c:strRef>
          </c:cat>
          <c:val>
            <c:numRef>
              <c:f>'bugoss-sast - vm1'!$O$44:$T$44</c:f>
              <c:numCache>
                <c:formatCode>0.00</c:formatCode>
                <c:ptCount val="6"/>
                <c:pt idx="0">
                  <c:v>0.88888888888888884</c:v>
                </c:pt>
                <c:pt idx="1">
                  <c:v>0</c:v>
                </c:pt>
                <c:pt idx="2">
                  <c:v>0</c:v>
                </c:pt>
                <c:pt idx="3">
                  <c:v>5.555555555555558E-2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63-3442-A396-A81A199167E7}"/>
            </c:ext>
          </c:extLst>
        </c:ser>
        <c:ser>
          <c:idx val="3"/>
          <c:order val="3"/>
          <c:tx>
            <c:strRef>
              <c:f>'bugoss-sast - vm1'!$N$45</c:f>
              <c:strCache>
                <c:ptCount val="1"/>
                <c:pt idx="0">
                  <c:v>FuzzInvRev - AFLPlusPlus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'bugoss-sast - vm1'!$O$41:$T$41</c:f>
              <c:strCache>
                <c:ptCount val="6"/>
                <c:pt idx="0">
                  <c:v>Buggy File</c:v>
                </c:pt>
                <c:pt idx="1">
                  <c:v>Buggy Function</c:v>
                </c:pt>
                <c:pt idx="2">
                  <c:v>Buggy Block</c:v>
                </c:pt>
                <c:pt idx="3">
                  <c:v>Non-Buggy File</c:v>
                </c:pt>
                <c:pt idx="4">
                  <c:v>Non-Buggy Function</c:v>
                </c:pt>
                <c:pt idx="5">
                  <c:v>Non-Buggy Block</c:v>
                </c:pt>
              </c:strCache>
            </c:strRef>
          </c:cat>
          <c:val>
            <c:numRef>
              <c:f>'bugoss-sast - vm1'!$O$45:$T$45</c:f>
              <c:numCache>
                <c:formatCode>0.00</c:formatCode>
                <c:ptCount val="6"/>
                <c:pt idx="0">
                  <c:v>0.61111111111111116</c:v>
                </c:pt>
                <c:pt idx="1">
                  <c:v>0.61111111111111116</c:v>
                </c:pt>
                <c:pt idx="2">
                  <c:v>0.61111111111111116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63-3442-A396-A81A199167E7}"/>
            </c:ext>
          </c:extLst>
        </c:ser>
        <c:ser>
          <c:idx val="4"/>
          <c:order val="4"/>
          <c:tx>
            <c:strRef>
              <c:f>'bugoss-sast - vm1'!$N$46</c:f>
              <c:strCache>
                <c:ptCount val="1"/>
                <c:pt idx="0">
                  <c:v>FuzzInvRev - Honggfuzz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'bugoss-sast - vm1'!$O$41:$T$41</c:f>
              <c:strCache>
                <c:ptCount val="6"/>
                <c:pt idx="0">
                  <c:v>Buggy File</c:v>
                </c:pt>
                <c:pt idx="1">
                  <c:v>Buggy Function</c:v>
                </c:pt>
                <c:pt idx="2">
                  <c:v>Buggy Block</c:v>
                </c:pt>
                <c:pt idx="3">
                  <c:v>Non-Buggy File</c:v>
                </c:pt>
                <c:pt idx="4">
                  <c:v>Non-Buggy Function</c:v>
                </c:pt>
                <c:pt idx="5">
                  <c:v>Non-Buggy Block</c:v>
                </c:pt>
              </c:strCache>
            </c:strRef>
          </c:cat>
          <c:val>
            <c:numRef>
              <c:f>'bugoss-sast - vm1'!$O$46:$T$46</c:f>
              <c:numCache>
                <c:formatCode>0.00</c:formatCode>
                <c:ptCount val="6"/>
                <c:pt idx="0">
                  <c:v>0.55555555555555558</c:v>
                </c:pt>
                <c:pt idx="1">
                  <c:v>0.55555555555555558</c:v>
                </c:pt>
                <c:pt idx="2">
                  <c:v>0.55555555555555558</c:v>
                </c:pt>
                <c:pt idx="3">
                  <c:v>5.555555555555558E-2</c:v>
                </c:pt>
                <c:pt idx="4">
                  <c:v>5.555555555555558E-2</c:v>
                </c:pt>
                <c:pt idx="5">
                  <c:v>5.555555555555558E-2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63-3442-A396-A81A199167E7}"/>
            </c:ext>
          </c:extLst>
        </c:ser>
        <c:ser>
          <c:idx val="5"/>
          <c:order val="5"/>
          <c:tx>
            <c:strRef>
              <c:f>'bugoss-sast - vm1'!$N$47</c:f>
              <c:strCache>
                <c:ptCount val="1"/>
                <c:pt idx="0">
                  <c:v>FuzzInvRev - libFuzzer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'bugoss-sast - vm1'!$O$41:$T$41</c:f>
              <c:strCache>
                <c:ptCount val="6"/>
                <c:pt idx="0">
                  <c:v>Buggy File</c:v>
                </c:pt>
                <c:pt idx="1">
                  <c:v>Buggy Function</c:v>
                </c:pt>
                <c:pt idx="2">
                  <c:v>Buggy Block</c:v>
                </c:pt>
                <c:pt idx="3">
                  <c:v>Non-Buggy File</c:v>
                </c:pt>
                <c:pt idx="4">
                  <c:v>Non-Buggy Function</c:v>
                </c:pt>
                <c:pt idx="5">
                  <c:v>Non-Buggy Block</c:v>
                </c:pt>
              </c:strCache>
            </c:strRef>
          </c:cat>
          <c:val>
            <c:numRef>
              <c:f>'bugoss-sast - vm1'!$O$47:$T$47</c:f>
              <c:numCache>
                <c:formatCode>0.00</c:formatCode>
                <c:ptCount val="6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63-3442-A396-A81A199167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066960"/>
        <c:axId val="88071552"/>
      </c:barChart>
      <c:catAx>
        <c:axId val="8806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71552"/>
        <c:crosses val="autoZero"/>
        <c:auto val="1"/>
        <c:lblAlgn val="ctr"/>
        <c:lblOffset val="100"/>
        <c:noMultiLvlLbl val="0"/>
      </c:catAx>
      <c:valAx>
        <c:axId val="8807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6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146301</xdr:colOff>
      <xdr:row>49</xdr:row>
      <xdr:rowOff>4917</xdr:rowOff>
    </xdr:from>
    <xdr:to>
      <xdr:col>19</xdr:col>
      <xdr:colOff>753533</xdr:colOff>
      <xdr:row>62</xdr:row>
      <xdr:rowOff>203199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176D14-1E73-855A-FE83-B81D55339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160867</xdr:colOff>
      <xdr:row>64</xdr:row>
      <xdr:rowOff>127000</xdr:rowOff>
    </xdr:from>
    <xdr:to>
      <xdr:col>19</xdr:col>
      <xdr:colOff>745067</xdr:colOff>
      <xdr:row>77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10E4AC-F4FA-D8D9-2C2B-D6D3837F4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4" dT="2024-12-23T02:12:29.60" personId="{00000000-0000-0000-0000-000000000000}" id="{BA503270-0CE8-2644-9177-5A3C73CFBFD2}">
    <text>generate corpus script requires release build--failed, debug build succeeded</text>
  </threadedComment>
  <threadedComment ref="J8" dT="2024-12-08T15:30:09.71" personId="{00000000-0000-0000-0000-000000000000}" id="{49312744-33EA-7649-BAEF-517C68F740F9}">
    <text>oss-fuzz target does not compile (undeclared strdup), use embed fuzz target</text>
  </threadedComment>
  <threadedComment ref="J21" dT="2024-12-19T08:51:19.11" personId="{00000000-0000-0000-0000-000000000000}" id="{14D39ED2-C01F-6D47-AE50-3807704EB6E6}">
    <text>fuzz helper script failed, use of undeclared identifier in BugOss target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GNUAspell/aspell/commit/e0646f9b063b23754951f1254f1ecb7af8ca36f3" TargetMode="External"/><Relationship Id="rId21" Type="http://schemas.openxmlformats.org/officeDocument/2006/relationships/hyperlink" Target="https://github.com/GrokImageCompression/grok/commit/1cb27625e7237a1a03a1c9ad67bc1f006473aa35" TargetMode="External"/><Relationship Id="rId42" Type="http://schemas.openxmlformats.org/officeDocument/2006/relationships/hyperlink" Target="https://github.com/DanBloomberg/leptonica/commit/dfde88c09a37ccced3c2e08b2db971145f4ac279" TargetMode="External"/><Relationship Id="rId47" Type="http://schemas.openxmlformats.org/officeDocument/2006/relationships/hyperlink" Target="https://github.com/OISF/libhtp/commit/75cbbbd405695e97567931655fd5a441f86e5836" TargetMode="External"/><Relationship Id="rId63" Type="http://schemas.openxmlformats.org/officeDocument/2006/relationships/hyperlink" Target="https://github.com/WizardMac/ReadStat/commit/1de4f389a8ffb07775cb1d99e33cbfa7e96bccf2" TargetMode="External"/><Relationship Id="rId68" Type="http://schemas.openxmlformats.org/officeDocument/2006/relationships/hyperlink" Target="https://github.com/facebook/zstd/commit/da2748a855821aa7edc9080997119e44c96d657c" TargetMode="External"/><Relationship Id="rId2" Type="http://schemas.openxmlformats.org/officeDocument/2006/relationships/hyperlink" Target="https://github.com/sdevlab/BugOss/tree/master/artifacts/aspell-18462" TargetMode="External"/><Relationship Id="rId16" Type="http://schemas.openxmlformats.org/officeDocument/2006/relationships/hyperlink" Target="https://github.com/sdevlab/BugOss/tree/master/artifacts/readstat-13262" TargetMode="External"/><Relationship Id="rId29" Type="http://schemas.openxmlformats.org/officeDocument/2006/relationships/hyperlink" Target="https://github.com/curl/curl/commit/dd7521bcc1b7a6fcb53c31f9bd1192fcc884bd56" TargetMode="External"/><Relationship Id="rId11" Type="http://schemas.openxmlformats.org/officeDocument/2006/relationships/hyperlink" Target="https://github.com/sdevlab/BugOss/tree/master/artifacts/libxml2-17737" TargetMode="External"/><Relationship Id="rId24" Type="http://schemas.openxmlformats.org/officeDocument/2006/relationships/hyperlink" Target="https://github.com/apache/arrow/commit/bf67ec74635db2183619601f025e4724bd5a6b75" TargetMode="External"/><Relationship Id="rId32" Type="http://schemas.openxmlformats.org/officeDocument/2006/relationships/hyperlink" Target="https://github.com/Exiv2/exiv2/commit/10a62b23500954abf7eb2cc3e577bebb21bb0b72" TargetMode="External"/><Relationship Id="rId37" Type="http://schemas.openxmlformats.org/officeDocument/2006/relationships/hyperlink" Target="https://github.com/GrokImageCompression/grok/commit/2b2f0e892c47c7b65b5c55ebf92ad77ff1dc14f3" TargetMode="External"/><Relationship Id="rId40" Type="http://schemas.openxmlformats.org/officeDocument/2006/relationships/hyperlink" Target="https://github.com/harfbuzz/harfbuzz/commit/64fa5cd482d0be2e215998aa1c2a05b978133e7c" TargetMode="External"/><Relationship Id="rId45" Type="http://schemas.openxmlformats.org/officeDocument/2006/relationships/hyperlink" Target="https://github.com/libarchive/libarchive/commit/52efa50c69653029687bfc545703b7340b7a51e2" TargetMode="External"/><Relationship Id="rId53" Type="http://schemas.openxmlformats.org/officeDocument/2006/relationships/hyperlink" Target="https://github.com/cisco/openh264/commit/83a0eae9bbbda5bfe802438109a025a3d7caee10" TargetMode="External"/><Relationship Id="rId58" Type="http://schemas.openxmlformats.org/officeDocument/2006/relationships/hyperlink" Target="https://github.com/openssl/openssl/commit/aec9667bd19a8ca9bdd519db3a231a95b9e92674" TargetMode="External"/><Relationship Id="rId66" Type="http://schemas.openxmlformats.org/officeDocument/2006/relationships/hyperlink" Target="https://github.com/sctplab/usrsctp/commit/1ab1d69ce8cbf20a4d0d1e41de6b5c11cd24da71" TargetMode="External"/><Relationship Id="rId74" Type="http://schemas.openxmlformats.org/officeDocument/2006/relationships/vmlDrawing" Target="../drawings/vmlDrawing1.vml"/><Relationship Id="rId5" Type="http://schemas.openxmlformats.org/officeDocument/2006/relationships/hyperlink" Target="https://github.com/sdevlab/BugOss/tree/master/artifacts/file-30222" TargetMode="External"/><Relationship Id="rId61" Type="http://schemas.openxmlformats.org/officeDocument/2006/relationships/hyperlink" Target="https://github.com/seladb/PcapPlusPlus/commit/31406a092868f87d714910e349ab0b4dc683722b" TargetMode="External"/><Relationship Id="rId19" Type="http://schemas.openxmlformats.org/officeDocument/2006/relationships/hyperlink" Target="https://gitlab.gnome.org/GNOME/libxml2/-/commit/99a864a1f7a9cb59865f803770d7d62fb47cad69" TargetMode="External"/><Relationship Id="rId14" Type="http://schemas.openxmlformats.org/officeDocument/2006/relationships/hyperlink" Target="https://github.com/sdevlab/BugOss/tree/master/artifacts/openssl-17715" TargetMode="External"/><Relationship Id="rId22" Type="http://schemas.openxmlformats.org/officeDocument/2006/relationships/hyperlink" Target="https://github.com/apache/arrow/commit/3c5b62c116733e434508a8673c2d466776b27eed" TargetMode="External"/><Relationship Id="rId27" Type="http://schemas.openxmlformats.org/officeDocument/2006/relationships/hyperlink" Target="https://github.com/GNUAspell/aspell/commit/0718b375425aad8e54e1150313b862e4c6fd324a" TargetMode="External"/><Relationship Id="rId30" Type="http://schemas.openxmlformats.org/officeDocument/2006/relationships/hyperlink" Target="https://github.com/curl/curl/commit/3c630f9b0af097663a64e5c875c580aa9808a92b" TargetMode="External"/><Relationship Id="rId35" Type="http://schemas.openxmlformats.org/officeDocument/2006/relationships/hyperlink" Target="https://github.com/file/file/commit/6de3683de955277c4be4be350ec683b3203d3f31" TargetMode="External"/><Relationship Id="rId43" Type="http://schemas.openxmlformats.org/officeDocument/2006/relationships/hyperlink" Target="https://github.com/DanBloomberg/leptonica/commit/f301010cd4495a11d96504642737a85c386e6618" TargetMode="External"/><Relationship Id="rId48" Type="http://schemas.openxmlformats.org/officeDocument/2006/relationships/hyperlink" Target="https://github.com/OISF/libhtp/commit/3c6555078ec30e0baa4855ec69d55a22fc8d3589" TargetMode="External"/><Relationship Id="rId56" Type="http://schemas.openxmlformats.org/officeDocument/2006/relationships/hyperlink" Target="https://github.com/openssl/openssl/commit/5a2a2f66c5e79895400c6e895ce7f8d48db96bb8" TargetMode="External"/><Relationship Id="rId64" Type="http://schemas.openxmlformats.org/officeDocument/2006/relationships/hyperlink" Target="https://github.com/WizardMac/ReadStat/commit/f57262da9966803ee97a5cecfe24512d38c3625e" TargetMode="External"/><Relationship Id="rId69" Type="http://schemas.openxmlformats.org/officeDocument/2006/relationships/hyperlink" Target="https://github.com/facebook/zstd/commit/0ed07f6dfe942627e7724e5b910e23ec3cd8ece8" TargetMode="External"/><Relationship Id="rId8" Type="http://schemas.openxmlformats.org/officeDocument/2006/relationships/hyperlink" Target="https://github.com/sdevlab/BugOss/tree/master/artifacts/leptonica-25212" TargetMode="External"/><Relationship Id="rId51" Type="http://schemas.openxmlformats.org/officeDocument/2006/relationships/hyperlink" Target="https://github.com/ntop/nDPI/commit/2edfaeba4ada90ca8771a44132d2b9cc85e45570" TargetMode="External"/><Relationship Id="rId72" Type="http://schemas.openxmlformats.org/officeDocument/2006/relationships/hyperlink" Target="https://github.com/sdevlab/BugOss/tree/master/artifacts/zstd-21970" TargetMode="External"/><Relationship Id="rId3" Type="http://schemas.openxmlformats.org/officeDocument/2006/relationships/hyperlink" Target="https://github.com/sdevlab/BugOss/tree/master/artifacts/curl-8000" TargetMode="External"/><Relationship Id="rId12" Type="http://schemas.openxmlformats.org/officeDocument/2006/relationships/hyperlink" Target="https://github.com/sdevlab/BugOss/tree/master/artifacts/ndpi-49057" TargetMode="External"/><Relationship Id="rId17" Type="http://schemas.openxmlformats.org/officeDocument/2006/relationships/hyperlink" Target="https://gitlab.gnome.org/GNOME/libxml2/-/commit/1fbcf4098ba2aefe241de8d7ceb229b995d8daec" TargetMode="External"/><Relationship Id="rId25" Type="http://schemas.openxmlformats.org/officeDocument/2006/relationships/hyperlink" Target="https://github.com/GNUAspell/aspell/commit/280d4069f189369ecc49c68b79b6d6cb7f2d6b93" TargetMode="External"/><Relationship Id="rId33" Type="http://schemas.openxmlformats.org/officeDocument/2006/relationships/hyperlink" Target="https://github.com/Exiv2/exiv2/commit/7a92e1bd0f8a1435eed7743e3aeadcb73f63182d" TargetMode="External"/><Relationship Id="rId38" Type="http://schemas.openxmlformats.org/officeDocument/2006/relationships/hyperlink" Target="https://github.com/harfbuzz/harfbuzz/commit/3fd9311649e2e0e5e2bfbe27c082e3f2dbc797f5" TargetMode="External"/><Relationship Id="rId46" Type="http://schemas.openxmlformats.org/officeDocument/2006/relationships/hyperlink" Target="https://github.com/libarchive/libarchive/commit/1271f775dc917798ad7d03c3b3bd66bacad03603" TargetMode="External"/><Relationship Id="rId59" Type="http://schemas.openxmlformats.org/officeDocument/2006/relationships/hyperlink" Target="https://github.com/seladb/PcapPlusPlus/commit/14a418ed4f9b72a832877dc8330e01259f617bf3" TargetMode="External"/><Relationship Id="rId67" Type="http://schemas.openxmlformats.org/officeDocument/2006/relationships/hyperlink" Target="https://github.com/weinrank/usrsctp/commit/b7e98787c4698521b7adc771ee919a74e83f28ed" TargetMode="External"/><Relationship Id="rId20" Type="http://schemas.openxmlformats.org/officeDocument/2006/relationships/hyperlink" Target="https://github.com/GrokImageCompression/grok/commit/93e6af95ec46bbba5e112a1fbdbdb6a1294d61d8" TargetMode="External"/><Relationship Id="rId41" Type="http://schemas.openxmlformats.org/officeDocument/2006/relationships/hyperlink" Target="https://github.com/DanBloomberg/leptonica/commit/8fc49016cf44ecbbab28979442e2781bd064584e" TargetMode="External"/><Relationship Id="rId54" Type="http://schemas.openxmlformats.org/officeDocument/2006/relationships/hyperlink" Target="https://github.com/cisco/openh264/commit/effb3931c7c67f34b167fe6e0a93253bf075f78c" TargetMode="External"/><Relationship Id="rId62" Type="http://schemas.openxmlformats.org/officeDocument/2006/relationships/hyperlink" Target="https://github.com/WizardMac/ReadStat/commit/bd7b41057a5670b90ea77bf4ea5b5d9ae5b20129" TargetMode="External"/><Relationship Id="rId70" Type="http://schemas.openxmlformats.org/officeDocument/2006/relationships/hyperlink" Target="https://github.com/facebook/zstd/commit/5717bd39ee1bd5d2855023652336deeb722a57d5" TargetMode="External"/><Relationship Id="rId75" Type="http://schemas.openxmlformats.org/officeDocument/2006/relationships/comments" Target="../comments1.xml"/><Relationship Id="rId1" Type="http://schemas.openxmlformats.org/officeDocument/2006/relationships/hyperlink" Target="https://github.com/sdevlab/BugOss/tree/master/artifacts/arrow-40653" TargetMode="External"/><Relationship Id="rId6" Type="http://schemas.openxmlformats.org/officeDocument/2006/relationships/hyperlink" Target="https://github.com/sdevlab/BugOss/tree/master/artifacts/grok-28418" TargetMode="External"/><Relationship Id="rId15" Type="http://schemas.openxmlformats.org/officeDocument/2006/relationships/hyperlink" Target="https://github.com/sdevlab/BugOss/tree/master/artifacts/pcapplusplus-23592" TargetMode="External"/><Relationship Id="rId23" Type="http://schemas.openxmlformats.org/officeDocument/2006/relationships/hyperlink" Target="https://github.com/apache/arrow/commit/fdc6a79b1028c8dae086ccba1cd6ce9f66f90fcb" TargetMode="External"/><Relationship Id="rId28" Type="http://schemas.openxmlformats.org/officeDocument/2006/relationships/hyperlink" Target="https://github.com/curl/curl/commit/ba67f7d65a42e63eccfe0bcc87f82682d6e4cc9e" TargetMode="External"/><Relationship Id="rId36" Type="http://schemas.openxmlformats.org/officeDocument/2006/relationships/hyperlink" Target="https://github.com/file/file/commit/9c74f7b258cfe17b8c7f6eaaf6bbbf4ed14017d0" TargetMode="External"/><Relationship Id="rId49" Type="http://schemas.openxmlformats.org/officeDocument/2006/relationships/hyperlink" Target="https://github.com/OISF/libhtp/commit/fe16fa764f7cea57be5a288ee85b27dffc460f6f" TargetMode="External"/><Relationship Id="rId57" Type="http://schemas.openxmlformats.org/officeDocument/2006/relationships/hyperlink" Target="https://github.com/openssl/openssl/commit/4baee2d72e0c82bfd6de085df23a1bdc6af887ba" TargetMode="External"/><Relationship Id="rId10" Type="http://schemas.openxmlformats.org/officeDocument/2006/relationships/hyperlink" Target="https://github.com/sdevlab/BugOss/tree/master/artifacts/libhtp-17198" TargetMode="External"/><Relationship Id="rId31" Type="http://schemas.openxmlformats.org/officeDocument/2006/relationships/hyperlink" Target="https://github.com/Exiv2/exiv2/commit/88fcd234bbb5e3fca03171b81c8d0e84b2619b26" TargetMode="External"/><Relationship Id="rId44" Type="http://schemas.openxmlformats.org/officeDocument/2006/relationships/hyperlink" Target="https://github.com/libarchive/libarchive/commit/72ce1ff7c6857a7334baa05884e69b9264a2199c" TargetMode="External"/><Relationship Id="rId52" Type="http://schemas.openxmlformats.org/officeDocument/2006/relationships/hyperlink" Target="https://github.com/ntop/nDPI/commit/407155755da29734e9b8a8e7a6960c568b1d3188" TargetMode="External"/><Relationship Id="rId60" Type="http://schemas.openxmlformats.org/officeDocument/2006/relationships/hyperlink" Target="https://github.com/seladb/PcapPlusPlus/commit/50aab202d24331ef35b9eff68d96ef9f97baf6a1" TargetMode="External"/><Relationship Id="rId65" Type="http://schemas.openxmlformats.org/officeDocument/2006/relationships/hyperlink" Target="https://github.com/sctplab/usrsctp/commit/05bea46702687f26a81c41c3fb1fd1dd3d9c0aa1" TargetMode="External"/><Relationship Id="rId73" Type="http://schemas.openxmlformats.org/officeDocument/2006/relationships/drawing" Target="../drawings/drawing1.xml"/><Relationship Id="rId4" Type="http://schemas.openxmlformats.org/officeDocument/2006/relationships/hyperlink" Target="https://github.com/sdevlab/BugOss/tree/master/artifacts/exiv2-50315" TargetMode="External"/><Relationship Id="rId9" Type="http://schemas.openxmlformats.org/officeDocument/2006/relationships/hyperlink" Target="https://github.com/sdevlab/BugOss/tree/master/artifacts/libarchive-44843" TargetMode="External"/><Relationship Id="rId13" Type="http://schemas.openxmlformats.org/officeDocument/2006/relationships/hyperlink" Target="https://github.com/sdevlab/BugOss/tree/master/artifacts/openh264-26220" TargetMode="External"/><Relationship Id="rId18" Type="http://schemas.openxmlformats.org/officeDocument/2006/relationships/hyperlink" Target="https://gitlab.gnome.org/GNOME/libxml2/-/commit/664f881008f40356c0502c8cc154e17e3c80e353" TargetMode="External"/><Relationship Id="rId39" Type="http://schemas.openxmlformats.org/officeDocument/2006/relationships/hyperlink" Target="https://github.com/harfbuzz/harfbuzz/commit/8708b9e081192786c027bb7f5f23d76dbe5c19e8" TargetMode="External"/><Relationship Id="rId34" Type="http://schemas.openxmlformats.org/officeDocument/2006/relationships/hyperlink" Target="https://github.com/file/file/commit/6de3683de955277c4be4be350ec683b3203d3f31" TargetMode="External"/><Relationship Id="rId50" Type="http://schemas.openxmlformats.org/officeDocument/2006/relationships/hyperlink" Target="https://github.com/ntop/nDPI/commit/9c235796af60977ba316c612d4a02014896127f8" TargetMode="External"/><Relationship Id="rId55" Type="http://schemas.openxmlformats.org/officeDocument/2006/relationships/hyperlink" Target="https://github.com/cisco/openh264/commit/4c76c67e9b790fd40650c4e8a2a059603e8ce195" TargetMode="External"/><Relationship Id="rId76" Type="http://schemas.microsoft.com/office/2017/10/relationships/threadedComment" Target="../threadedComments/threadedComment1.xml"/><Relationship Id="rId7" Type="http://schemas.openxmlformats.org/officeDocument/2006/relationships/hyperlink" Target="https://github.com/sdevlab/BugOss/tree/master/artifacts/harfbuzz-55779" TargetMode="External"/><Relationship Id="rId71" Type="http://schemas.openxmlformats.org/officeDocument/2006/relationships/hyperlink" Target="https://github.com/sdevlab/BugOss/tree/master/artifacts/usrsctp-180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0C23-75E6-224C-91F8-8709B41BB8C9}">
  <sheetPr codeName="Sheet4"/>
  <dimension ref="A1:BD47"/>
  <sheetViews>
    <sheetView tabSelected="1" zoomScaleNormal="100" workbookViewId="0">
      <pane xSplit="1" ySplit="3" topLeftCell="K4" activePane="bottomRight" state="frozen"/>
      <selection pane="topRight" activeCell="B1" sqref="B1"/>
      <selection pane="bottomLeft" activeCell="A2" sqref="A2"/>
      <selection pane="bottomRight" activeCell="Z40" sqref="Z40"/>
    </sheetView>
  </sheetViews>
  <sheetFormatPr baseColWidth="10" defaultRowHeight="16" x14ac:dyDescent="0.2"/>
  <cols>
    <col min="1" max="1" width="18.33203125" bestFit="1" customWidth="1"/>
    <col min="2" max="2" width="43.83203125" bestFit="1" customWidth="1"/>
    <col min="3" max="3" width="53.1640625" bestFit="1" customWidth="1"/>
    <col min="4" max="5" width="43.83203125" bestFit="1" customWidth="1"/>
    <col min="6" max="6" width="13.1640625" bestFit="1" customWidth="1"/>
    <col min="7" max="7" width="17.6640625" bestFit="1" customWidth="1"/>
    <col min="8" max="8" width="15.33203125" bestFit="1" customWidth="1"/>
    <col min="9" max="9" width="27.1640625" bestFit="1" customWidth="1"/>
    <col min="10" max="10" width="16.5" customWidth="1"/>
    <col min="11" max="11" width="13.1640625" bestFit="1" customWidth="1"/>
    <col min="12" max="12" width="8.1640625" hidden="1" customWidth="1"/>
    <col min="13" max="13" width="15.5" hidden="1" customWidth="1"/>
    <col min="14" max="14" width="43.1640625" style="6" bestFit="1" customWidth="1"/>
    <col min="15" max="15" width="12.6640625" bestFit="1" customWidth="1"/>
    <col min="16" max="16" width="11.1640625" bestFit="1" customWidth="1"/>
    <col min="17" max="17" width="12.6640625" bestFit="1" customWidth="1"/>
    <col min="18" max="18" width="14.1640625" bestFit="1" customWidth="1"/>
    <col min="19" max="20" width="12.6640625" bestFit="1" customWidth="1"/>
    <col min="21" max="21" width="11.1640625" hidden="1" customWidth="1"/>
    <col min="22" max="22" width="15.5" hidden="1" customWidth="1"/>
    <col min="23" max="23" width="40.1640625" style="6" bestFit="1" customWidth="1"/>
    <col min="24" max="24" width="12.5" bestFit="1" customWidth="1"/>
    <col min="25" max="25" width="9.6640625" bestFit="1" customWidth="1"/>
    <col min="26" max="26" width="12.5" bestFit="1" customWidth="1"/>
    <col min="27" max="27" width="14" bestFit="1" customWidth="1"/>
    <col min="28" max="28" width="12.5" bestFit="1" customWidth="1"/>
    <col min="29" max="29" width="11.6640625" bestFit="1" customWidth="1"/>
    <col min="30" max="30" width="8.1640625" hidden="1" customWidth="1"/>
    <col min="31" max="31" width="15.5" hidden="1" customWidth="1"/>
    <col min="32" max="32" width="34" style="6" bestFit="1" customWidth="1"/>
    <col min="33" max="33" width="12.5" bestFit="1" customWidth="1"/>
    <col min="34" max="34" width="9.6640625" bestFit="1" customWidth="1"/>
    <col min="35" max="35" width="11.1640625" bestFit="1" customWidth="1"/>
    <col min="36" max="36" width="14" bestFit="1" customWidth="1"/>
    <col min="37" max="37" width="8.83203125" bestFit="1" customWidth="1"/>
    <col min="38" max="38" width="11.6640625" bestFit="1" customWidth="1"/>
    <col min="39" max="39" width="11.33203125" style="6" customWidth="1"/>
    <col min="40" max="41" width="11.33203125" customWidth="1"/>
    <col min="42" max="42" width="11.33203125" style="6" customWidth="1"/>
    <col min="43" max="44" width="11.33203125" customWidth="1"/>
    <col min="45" max="45" width="11.33203125" style="6" customWidth="1"/>
    <col min="46" max="47" width="11.33203125" customWidth="1"/>
    <col min="48" max="48" width="11.33203125" style="6" customWidth="1"/>
    <col min="49" max="50" width="11.33203125" customWidth="1"/>
    <col min="51" max="51" width="11.33203125" style="6" customWidth="1"/>
    <col min="52" max="53" width="11.33203125" customWidth="1"/>
    <col min="54" max="54" width="11.33203125" style="6" customWidth="1"/>
    <col min="55" max="56" width="11.33203125" customWidth="1"/>
  </cols>
  <sheetData>
    <row r="1" spans="1:56" x14ac:dyDescent="0.2">
      <c r="L1" s="13" t="s">
        <v>101</v>
      </c>
      <c r="M1" s="13"/>
      <c r="N1" s="13"/>
      <c r="O1" s="13"/>
      <c r="P1" s="13"/>
      <c r="Q1" s="13"/>
      <c r="R1" s="13"/>
      <c r="S1" s="13"/>
      <c r="T1" s="13"/>
      <c r="U1" s="13" t="s">
        <v>104</v>
      </c>
      <c r="V1" s="13"/>
      <c r="W1" s="13"/>
      <c r="X1" s="13"/>
      <c r="Y1" s="13"/>
      <c r="Z1" s="13"/>
      <c r="AA1" s="13"/>
      <c r="AB1" s="13"/>
      <c r="AC1" s="13"/>
      <c r="AD1" s="13" t="s">
        <v>105</v>
      </c>
      <c r="AE1" s="13"/>
      <c r="AF1" s="13"/>
      <c r="AG1" s="13"/>
      <c r="AH1" s="13"/>
      <c r="AI1" s="13"/>
      <c r="AJ1" s="13"/>
      <c r="AK1" s="13"/>
      <c r="AL1" s="13"/>
      <c r="AM1" s="13" t="s">
        <v>167</v>
      </c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</row>
    <row r="2" spans="1:56" x14ac:dyDescent="0.2"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3" t="s">
        <v>79</v>
      </c>
      <c r="AN2" s="13"/>
      <c r="AO2" s="13"/>
      <c r="AP2" s="13"/>
      <c r="AQ2" s="13"/>
      <c r="AR2" s="13"/>
      <c r="AS2" s="13" t="s">
        <v>164</v>
      </c>
      <c r="AT2" s="13"/>
      <c r="AU2" s="13"/>
      <c r="AV2" s="13"/>
      <c r="AW2" s="13"/>
      <c r="AX2" s="13"/>
      <c r="AY2" s="13" t="s">
        <v>78</v>
      </c>
      <c r="AZ2" s="13"/>
      <c r="BA2" s="13"/>
      <c r="BB2" s="13"/>
      <c r="BC2" s="13"/>
      <c r="BD2" s="13"/>
    </row>
    <row r="3" spans="1:56" s="3" customFormat="1" x14ac:dyDescent="0.2">
      <c r="A3" s="3" t="s">
        <v>0</v>
      </c>
      <c r="B3" s="3" t="s">
        <v>76</v>
      </c>
      <c r="C3" s="3" t="s">
        <v>19</v>
      </c>
      <c r="D3" s="3" t="s">
        <v>20</v>
      </c>
      <c r="E3" s="3" t="s">
        <v>21</v>
      </c>
      <c r="F3" s="3" t="s">
        <v>128</v>
      </c>
      <c r="G3" s="3" t="s">
        <v>129</v>
      </c>
      <c r="H3" s="3" t="s">
        <v>130</v>
      </c>
      <c r="I3" s="3" t="s">
        <v>99</v>
      </c>
      <c r="J3" s="2" t="s">
        <v>80</v>
      </c>
      <c r="K3" s="3" t="s">
        <v>100</v>
      </c>
      <c r="L3" s="3" t="s">
        <v>102</v>
      </c>
      <c r="M3" s="3" t="s">
        <v>103</v>
      </c>
      <c r="N3" s="5" t="s">
        <v>165</v>
      </c>
      <c r="O3" s="3" t="s">
        <v>166</v>
      </c>
      <c r="P3" s="3" t="s">
        <v>185</v>
      </c>
      <c r="Q3" s="3" t="s">
        <v>186</v>
      </c>
      <c r="R3" s="3" t="s">
        <v>187</v>
      </c>
      <c r="S3" s="3" t="s">
        <v>176</v>
      </c>
      <c r="T3" s="3" t="s">
        <v>175</v>
      </c>
      <c r="U3" s="3" t="s">
        <v>174</v>
      </c>
      <c r="V3" s="3" t="s">
        <v>103</v>
      </c>
      <c r="W3" s="5" t="s">
        <v>165</v>
      </c>
      <c r="X3" s="3" t="s">
        <v>185</v>
      </c>
      <c r="Y3" s="3" t="s">
        <v>186</v>
      </c>
      <c r="Z3" s="3" t="s">
        <v>187</v>
      </c>
      <c r="AA3" s="3" t="s">
        <v>176</v>
      </c>
      <c r="AB3" s="3" t="s">
        <v>175</v>
      </c>
      <c r="AC3" s="3" t="s">
        <v>174</v>
      </c>
      <c r="AD3" s="3" t="s">
        <v>102</v>
      </c>
      <c r="AE3" s="3" t="s">
        <v>103</v>
      </c>
      <c r="AF3" s="5" t="s">
        <v>165</v>
      </c>
      <c r="AG3" s="3" t="s">
        <v>185</v>
      </c>
      <c r="AH3" s="3" t="s">
        <v>186</v>
      </c>
      <c r="AI3" s="3" t="s">
        <v>187</v>
      </c>
      <c r="AJ3" s="3" t="s">
        <v>176</v>
      </c>
      <c r="AK3" s="3" t="s">
        <v>175</v>
      </c>
      <c r="AL3" s="3" t="s">
        <v>174</v>
      </c>
      <c r="AM3" s="3" t="s">
        <v>185</v>
      </c>
      <c r="AN3" s="3" t="s">
        <v>186</v>
      </c>
      <c r="AO3" s="3" t="s">
        <v>187</v>
      </c>
      <c r="AP3" s="3" t="s">
        <v>176</v>
      </c>
      <c r="AQ3" s="3" t="s">
        <v>175</v>
      </c>
      <c r="AR3" s="3" t="s">
        <v>174</v>
      </c>
      <c r="AS3" s="3" t="s">
        <v>185</v>
      </c>
      <c r="AT3" s="3" t="s">
        <v>186</v>
      </c>
      <c r="AU3" s="3" t="s">
        <v>187</v>
      </c>
      <c r="AV3" s="5" t="s">
        <v>176</v>
      </c>
      <c r="AW3" s="3" t="s">
        <v>175</v>
      </c>
      <c r="AX3" s="3" t="s">
        <v>174</v>
      </c>
      <c r="AY3" s="5" t="s">
        <v>185</v>
      </c>
      <c r="AZ3" s="3" t="s">
        <v>186</v>
      </c>
      <c r="BA3" s="3" t="s">
        <v>187</v>
      </c>
      <c r="BB3" s="5" t="s">
        <v>176</v>
      </c>
      <c r="BC3" s="3" t="s">
        <v>175</v>
      </c>
      <c r="BD3" s="3" t="s">
        <v>174</v>
      </c>
    </row>
    <row r="4" spans="1:56" x14ac:dyDescent="0.2">
      <c r="A4" s="1" t="s">
        <v>1</v>
      </c>
      <c r="B4" t="s">
        <v>82</v>
      </c>
      <c r="C4" s="1" t="s">
        <v>27</v>
      </c>
      <c r="D4" s="1" t="s">
        <v>29</v>
      </c>
      <c r="E4" s="1" t="s">
        <v>28</v>
      </c>
      <c r="F4" s="9">
        <v>1</v>
      </c>
      <c r="G4" s="9">
        <v>2</v>
      </c>
      <c r="H4" s="9">
        <v>2</v>
      </c>
      <c r="I4" t="b">
        <v>1</v>
      </c>
      <c r="J4" t="s">
        <v>77</v>
      </c>
      <c r="K4" t="s">
        <v>77</v>
      </c>
      <c r="L4" t="s">
        <v>77</v>
      </c>
      <c r="M4" t="s">
        <v>77</v>
      </c>
      <c r="N4" s="6" t="s">
        <v>151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s">
        <v>107</v>
      </c>
      <c r="AD4" t="s">
        <v>77</v>
      </c>
      <c r="AE4" t="s">
        <v>77</v>
      </c>
      <c r="AF4" s="6" t="s">
        <v>108</v>
      </c>
      <c r="AG4" t="b">
        <v>1</v>
      </c>
      <c r="AH4" t="b">
        <v>0</v>
      </c>
      <c r="AI4" t="b">
        <v>0</v>
      </c>
      <c r="AJ4" t="b">
        <v>1</v>
      </c>
      <c r="AK4" t="b">
        <v>0</v>
      </c>
      <c r="AL4" t="b">
        <v>0</v>
      </c>
      <c r="AM4" s="6" t="b">
        <v>0</v>
      </c>
      <c r="AN4" t="b">
        <v>0</v>
      </c>
      <c r="AO4" t="b">
        <v>0</v>
      </c>
      <c r="AP4" s="6" t="b">
        <v>0</v>
      </c>
      <c r="AQ4" t="b">
        <v>0</v>
      </c>
      <c r="AR4" t="b">
        <v>0</v>
      </c>
      <c r="AS4" s="6" t="b">
        <v>0</v>
      </c>
      <c r="AT4" t="b">
        <v>0</v>
      </c>
      <c r="AU4" t="b">
        <v>0</v>
      </c>
      <c r="AV4" s="6" t="b">
        <v>0</v>
      </c>
      <c r="AW4" t="b">
        <v>0</v>
      </c>
      <c r="AX4" t="b">
        <v>0</v>
      </c>
      <c r="AY4" s="6" t="b">
        <v>0</v>
      </c>
      <c r="AZ4" t="b">
        <v>0</v>
      </c>
      <c r="BA4" t="b">
        <v>0</v>
      </c>
      <c r="BB4" s="6" t="b">
        <v>0</v>
      </c>
      <c r="BC4" t="b">
        <v>0</v>
      </c>
      <c r="BD4" t="b">
        <v>0</v>
      </c>
    </row>
    <row r="5" spans="1:56" x14ac:dyDescent="0.2">
      <c r="A5" s="1" t="s">
        <v>2</v>
      </c>
      <c r="B5" t="s">
        <v>84</v>
      </c>
      <c r="C5" s="1" t="s">
        <v>31</v>
      </c>
      <c r="D5" s="1" t="s">
        <v>30</v>
      </c>
      <c r="E5" s="1" t="s">
        <v>32</v>
      </c>
      <c r="F5" s="9">
        <v>1</v>
      </c>
      <c r="G5" s="9">
        <v>1</v>
      </c>
      <c r="H5" s="9">
        <v>1</v>
      </c>
      <c r="I5" t="b">
        <v>1</v>
      </c>
      <c r="J5" t="s">
        <v>77</v>
      </c>
      <c r="K5" t="s">
        <v>77</v>
      </c>
      <c r="L5" t="s">
        <v>77</v>
      </c>
      <c r="M5" t="s">
        <v>77</v>
      </c>
      <c r="N5" s="6" t="s">
        <v>139</v>
      </c>
      <c r="O5" t="b">
        <v>1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s">
        <v>77</v>
      </c>
      <c r="V5" t="s">
        <v>77</v>
      </c>
      <c r="W5" s="6" t="s">
        <v>137</v>
      </c>
      <c r="X5" t="b">
        <v>1</v>
      </c>
      <c r="Y5" t="b">
        <v>1</v>
      </c>
      <c r="Z5" s="4" t="b">
        <v>0</v>
      </c>
      <c r="AA5" t="b">
        <v>1</v>
      </c>
      <c r="AB5" t="b">
        <v>1</v>
      </c>
      <c r="AC5" s="4" t="b">
        <v>0</v>
      </c>
      <c r="AD5" t="s">
        <v>77</v>
      </c>
      <c r="AE5" t="s">
        <v>77</v>
      </c>
      <c r="AF5" s="6" t="s">
        <v>138</v>
      </c>
      <c r="AG5" t="b">
        <v>1</v>
      </c>
      <c r="AH5" t="b">
        <v>0</v>
      </c>
      <c r="AI5" t="b">
        <v>0</v>
      </c>
      <c r="AJ5" t="b">
        <v>1</v>
      </c>
      <c r="AK5" t="b">
        <v>0</v>
      </c>
      <c r="AL5" t="b">
        <v>0</v>
      </c>
      <c r="AM5" s="6" t="b">
        <v>1</v>
      </c>
      <c r="AN5" t="b">
        <v>1</v>
      </c>
      <c r="AO5" t="b">
        <v>1</v>
      </c>
      <c r="AP5" s="6" t="b">
        <v>1</v>
      </c>
      <c r="AQ5" t="b">
        <v>1</v>
      </c>
      <c r="AR5" t="b">
        <v>1</v>
      </c>
      <c r="AS5" s="6" t="b">
        <v>1</v>
      </c>
      <c r="AT5" t="b">
        <v>1</v>
      </c>
      <c r="AU5" t="b">
        <v>1</v>
      </c>
      <c r="AV5" s="6" t="b">
        <v>1</v>
      </c>
      <c r="AW5" t="b">
        <v>1</v>
      </c>
      <c r="AX5" t="b">
        <v>1</v>
      </c>
      <c r="AY5" s="6" t="b">
        <v>0</v>
      </c>
      <c r="AZ5" t="b">
        <v>0</v>
      </c>
      <c r="BA5" t="b">
        <v>0</v>
      </c>
      <c r="BB5" s="6" t="b">
        <v>0</v>
      </c>
      <c r="BC5" t="b">
        <v>0</v>
      </c>
      <c r="BD5" t="b">
        <v>0</v>
      </c>
    </row>
    <row r="6" spans="1:56" x14ac:dyDescent="0.2">
      <c r="A6" s="1" t="s">
        <v>3</v>
      </c>
      <c r="B6" t="s">
        <v>83</v>
      </c>
      <c r="C6" s="1" t="s">
        <v>34</v>
      </c>
      <c r="D6" s="1" t="s">
        <v>33</v>
      </c>
      <c r="E6" s="1" t="s">
        <v>35</v>
      </c>
      <c r="F6" s="9">
        <v>2</v>
      </c>
      <c r="G6" s="9">
        <v>2</v>
      </c>
      <c r="H6" s="9">
        <v>2</v>
      </c>
      <c r="I6" t="b">
        <v>1</v>
      </c>
      <c r="J6" t="s">
        <v>77</v>
      </c>
      <c r="K6" t="s">
        <v>77</v>
      </c>
      <c r="L6" t="s">
        <v>77</v>
      </c>
      <c r="M6" t="s">
        <v>77</v>
      </c>
      <c r="N6" s="6" t="s">
        <v>109</v>
      </c>
      <c r="O6" t="b">
        <v>1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s">
        <v>77</v>
      </c>
      <c r="V6" t="s">
        <v>77</v>
      </c>
      <c r="W6" s="10" t="s">
        <v>131</v>
      </c>
      <c r="X6" s="8" t="b">
        <v>1</v>
      </c>
      <c r="Y6" s="8" t="b">
        <v>1</v>
      </c>
      <c r="Z6" t="b">
        <v>1</v>
      </c>
      <c r="AA6" s="8" t="b">
        <v>1</v>
      </c>
      <c r="AB6" s="8" t="b">
        <v>1</v>
      </c>
      <c r="AC6" s="8" t="b">
        <v>0</v>
      </c>
      <c r="AD6" t="s">
        <v>77</v>
      </c>
      <c r="AE6" t="s">
        <v>77</v>
      </c>
      <c r="AF6" s="6" t="s">
        <v>141</v>
      </c>
      <c r="AG6" t="b">
        <v>1</v>
      </c>
      <c r="AH6" t="b">
        <v>0</v>
      </c>
      <c r="AI6" t="b">
        <v>0</v>
      </c>
      <c r="AJ6" t="b">
        <v>1</v>
      </c>
      <c r="AK6" t="b">
        <v>0</v>
      </c>
      <c r="AL6" t="b">
        <v>0</v>
      </c>
      <c r="AM6" s="6" t="b">
        <v>1</v>
      </c>
      <c r="AN6" t="b">
        <v>1</v>
      </c>
      <c r="AO6" t="b">
        <v>1</v>
      </c>
      <c r="AP6" s="6" t="b">
        <v>1</v>
      </c>
      <c r="AQ6" t="b">
        <v>1</v>
      </c>
      <c r="AR6" t="b">
        <v>1</v>
      </c>
      <c r="AS6" s="6" t="b">
        <v>1</v>
      </c>
      <c r="AT6" t="b">
        <v>1</v>
      </c>
      <c r="AU6" t="b">
        <v>1</v>
      </c>
      <c r="AV6" s="6" t="b">
        <v>1</v>
      </c>
      <c r="AW6" t="b">
        <v>1</v>
      </c>
      <c r="AX6" t="b">
        <v>1</v>
      </c>
      <c r="AY6" s="6" t="b">
        <v>0</v>
      </c>
      <c r="AZ6" t="b">
        <v>0</v>
      </c>
      <c r="BA6" t="b">
        <v>0</v>
      </c>
      <c r="BB6" s="6" t="b">
        <v>0</v>
      </c>
      <c r="BC6" t="b">
        <v>0</v>
      </c>
      <c r="BD6" t="b">
        <v>0</v>
      </c>
    </row>
    <row r="7" spans="1:56" x14ac:dyDescent="0.2">
      <c r="A7" s="1" t="s">
        <v>4</v>
      </c>
      <c r="B7" t="s">
        <v>85</v>
      </c>
      <c r="C7" s="1" t="s">
        <v>37</v>
      </c>
      <c r="D7" s="1" t="s">
        <v>36</v>
      </c>
      <c r="E7" s="1" t="s">
        <v>38</v>
      </c>
      <c r="F7" s="9">
        <v>2</v>
      </c>
      <c r="G7" s="9">
        <v>2</v>
      </c>
      <c r="H7" s="9">
        <v>2</v>
      </c>
      <c r="I7" t="b">
        <v>1</v>
      </c>
      <c r="J7" t="s">
        <v>77</v>
      </c>
      <c r="K7" t="s">
        <v>77</v>
      </c>
      <c r="L7" t="s">
        <v>77</v>
      </c>
      <c r="M7" t="s">
        <v>77</v>
      </c>
      <c r="N7" s="6" t="s">
        <v>110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s">
        <v>77</v>
      </c>
      <c r="V7" t="s">
        <v>77</v>
      </c>
      <c r="W7" s="6" t="s">
        <v>142</v>
      </c>
      <c r="X7" t="b">
        <v>1</v>
      </c>
      <c r="Y7" t="b">
        <v>1</v>
      </c>
      <c r="Z7" s="4" t="b">
        <v>0</v>
      </c>
      <c r="AA7" t="b">
        <v>1</v>
      </c>
      <c r="AB7" t="b">
        <v>1</v>
      </c>
      <c r="AC7" s="4" t="b">
        <v>0</v>
      </c>
      <c r="AD7" t="s">
        <v>77</v>
      </c>
      <c r="AE7" t="s">
        <v>77</v>
      </c>
      <c r="AF7" s="6" t="s">
        <v>140</v>
      </c>
      <c r="AG7" t="b">
        <v>1</v>
      </c>
      <c r="AH7" t="b">
        <v>0</v>
      </c>
      <c r="AI7" t="b">
        <v>0</v>
      </c>
      <c r="AJ7" t="b">
        <v>1</v>
      </c>
      <c r="AK7" t="b">
        <v>0</v>
      </c>
      <c r="AL7" t="b">
        <v>0</v>
      </c>
      <c r="AM7" s="6" t="b">
        <v>0</v>
      </c>
      <c r="AN7" t="b">
        <v>0</v>
      </c>
      <c r="AO7" t="b">
        <v>0</v>
      </c>
      <c r="AP7" s="6" t="b">
        <v>0</v>
      </c>
      <c r="AQ7" t="b">
        <v>0</v>
      </c>
      <c r="AR7" t="b">
        <v>0</v>
      </c>
      <c r="AS7" s="6" t="b">
        <v>0</v>
      </c>
      <c r="AT7" t="b">
        <v>0</v>
      </c>
      <c r="AU7" t="b">
        <v>0</v>
      </c>
      <c r="AV7" s="6" t="b">
        <v>0</v>
      </c>
      <c r="AW7" t="b">
        <v>0</v>
      </c>
      <c r="AX7" t="b">
        <v>0</v>
      </c>
      <c r="AY7" s="6" t="b">
        <v>0</v>
      </c>
      <c r="AZ7" t="b">
        <v>0</v>
      </c>
      <c r="BA7" t="b">
        <v>0</v>
      </c>
      <c r="BB7" s="6" t="b">
        <v>0</v>
      </c>
      <c r="BC7" t="b">
        <v>0</v>
      </c>
      <c r="BD7" t="b">
        <v>0</v>
      </c>
    </row>
    <row r="8" spans="1:56" x14ac:dyDescent="0.2">
      <c r="A8" s="1" t="s">
        <v>5</v>
      </c>
      <c r="B8" t="s">
        <v>86</v>
      </c>
      <c r="C8" s="1" t="s">
        <v>39</v>
      </c>
      <c r="D8" s="1" t="s">
        <v>39</v>
      </c>
      <c r="E8" s="1" t="s">
        <v>40</v>
      </c>
      <c r="F8" s="9">
        <v>1</v>
      </c>
      <c r="G8" s="9">
        <v>1</v>
      </c>
      <c r="H8" s="9">
        <v>1</v>
      </c>
      <c r="I8" t="b">
        <v>1</v>
      </c>
      <c r="J8" t="s">
        <v>77</v>
      </c>
      <c r="K8" t="s">
        <v>77</v>
      </c>
      <c r="L8" t="s">
        <v>77</v>
      </c>
      <c r="M8" t="s">
        <v>77</v>
      </c>
      <c r="N8" s="6" t="s">
        <v>111</v>
      </c>
      <c r="O8" t="b">
        <v>1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s">
        <v>77</v>
      </c>
      <c r="V8" t="s">
        <v>77</v>
      </c>
      <c r="W8" s="6" t="s">
        <v>112</v>
      </c>
      <c r="X8" t="b">
        <v>1</v>
      </c>
      <c r="Y8" t="b">
        <v>0</v>
      </c>
      <c r="Z8" s="4" t="b">
        <v>0</v>
      </c>
      <c r="AA8" t="b">
        <v>1</v>
      </c>
      <c r="AB8" t="b">
        <v>0</v>
      </c>
      <c r="AC8" s="4" t="b">
        <v>0</v>
      </c>
      <c r="AD8" t="s">
        <v>77</v>
      </c>
      <c r="AE8" t="s">
        <v>77</v>
      </c>
      <c r="AF8" s="6" t="s">
        <v>143</v>
      </c>
      <c r="AG8" t="b">
        <v>1</v>
      </c>
      <c r="AH8" t="b">
        <v>0</v>
      </c>
      <c r="AI8" t="b">
        <v>0</v>
      </c>
      <c r="AJ8" t="b">
        <v>1</v>
      </c>
      <c r="AK8" t="b">
        <v>0</v>
      </c>
      <c r="AL8" t="b">
        <v>0</v>
      </c>
      <c r="AM8" s="6" t="b">
        <v>0</v>
      </c>
      <c r="AN8" t="b">
        <v>0</v>
      </c>
      <c r="AO8" t="b">
        <v>0</v>
      </c>
      <c r="AP8" s="6" t="b">
        <v>0</v>
      </c>
      <c r="AQ8" t="b">
        <v>0</v>
      </c>
      <c r="AR8" t="b">
        <v>0</v>
      </c>
      <c r="AS8" s="6" t="b">
        <v>0</v>
      </c>
      <c r="AT8" t="b">
        <v>0</v>
      </c>
      <c r="AU8" t="b">
        <v>0</v>
      </c>
      <c r="AV8" s="6" t="b">
        <v>0</v>
      </c>
      <c r="AW8" t="b">
        <v>0</v>
      </c>
      <c r="AX8" t="b">
        <v>0</v>
      </c>
      <c r="AY8" s="6" t="b">
        <v>0</v>
      </c>
      <c r="AZ8" t="b">
        <v>0</v>
      </c>
      <c r="BA8" t="b">
        <v>0</v>
      </c>
      <c r="BB8" s="6" t="b">
        <v>0</v>
      </c>
      <c r="BC8" t="b">
        <v>0</v>
      </c>
      <c r="BD8" t="b">
        <v>0</v>
      </c>
    </row>
    <row r="9" spans="1:56" x14ac:dyDescent="0.2">
      <c r="A9" s="1" t="s">
        <v>6</v>
      </c>
      <c r="B9" t="s">
        <v>75</v>
      </c>
      <c r="C9" s="1" t="s">
        <v>25</v>
      </c>
      <c r="D9" s="1" t="s">
        <v>41</v>
      </c>
      <c r="E9" s="1" t="s">
        <v>26</v>
      </c>
      <c r="F9" s="9">
        <v>2</v>
      </c>
      <c r="G9" s="9">
        <v>9</v>
      </c>
      <c r="H9" s="9">
        <v>9</v>
      </c>
      <c r="I9" s="4" t="b">
        <v>1</v>
      </c>
      <c r="J9" t="s">
        <v>77</v>
      </c>
      <c r="K9" t="s">
        <v>77</v>
      </c>
      <c r="L9" t="s">
        <v>77</v>
      </c>
      <c r="M9" t="s">
        <v>77</v>
      </c>
      <c r="N9" s="10" t="s">
        <v>132</v>
      </c>
      <c r="O9" t="b">
        <v>1</v>
      </c>
      <c r="P9" t="b">
        <v>1</v>
      </c>
      <c r="Q9" t="b">
        <v>1</v>
      </c>
      <c r="R9" t="b">
        <v>1</v>
      </c>
      <c r="S9" t="b">
        <v>0</v>
      </c>
      <c r="T9" t="b">
        <v>0</v>
      </c>
      <c r="U9" t="s">
        <v>77</v>
      </c>
      <c r="V9" t="s">
        <v>77</v>
      </c>
      <c r="W9" s="6" t="s">
        <v>144</v>
      </c>
      <c r="X9" t="b">
        <v>1</v>
      </c>
      <c r="Y9" t="b">
        <v>1</v>
      </c>
      <c r="Z9" s="4" t="b">
        <v>0</v>
      </c>
      <c r="AA9" t="b">
        <v>1</v>
      </c>
      <c r="AB9" t="b">
        <v>1</v>
      </c>
      <c r="AC9" s="4" t="b">
        <v>0</v>
      </c>
      <c r="AD9" t="s">
        <v>77</v>
      </c>
      <c r="AE9" t="s">
        <v>77</v>
      </c>
      <c r="AF9" s="6" t="s">
        <v>145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s="6" t="b">
        <v>1</v>
      </c>
      <c r="AN9" t="b">
        <v>1</v>
      </c>
      <c r="AO9" t="b">
        <v>1</v>
      </c>
      <c r="AP9" s="6" t="b">
        <v>1</v>
      </c>
      <c r="AQ9" t="b">
        <v>1</v>
      </c>
      <c r="AR9" t="b">
        <v>1</v>
      </c>
      <c r="AS9" s="6" t="b">
        <v>0</v>
      </c>
      <c r="AT9" t="b">
        <v>0</v>
      </c>
      <c r="AU9" t="b">
        <v>0</v>
      </c>
      <c r="AV9" s="6" t="b">
        <v>0</v>
      </c>
      <c r="AW9" t="b">
        <v>0</v>
      </c>
      <c r="AX9" t="b">
        <v>0</v>
      </c>
      <c r="AY9" s="6" t="b">
        <v>1</v>
      </c>
      <c r="AZ9" t="b">
        <v>1</v>
      </c>
      <c r="BA9" t="b">
        <v>1</v>
      </c>
      <c r="BB9" s="6" t="b">
        <v>1</v>
      </c>
      <c r="BC9" t="b">
        <v>1</v>
      </c>
      <c r="BD9" t="b">
        <v>1</v>
      </c>
    </row>
    <row r="10" spans="1:56" x14ac:dyDescent="0.2">
      <c r="A10" s="1" t="s">
        <v>7</v>
      </c>
      <c r="B10" t="s">
        <v>87</v>
      </c>
      <c r="C10" s="1" t="s">
        <v>43</v>
      </c>
      <c r="D10" s="1" t="s">
        <v>42</v>
      </c>
      <c r="E10" s="1" t="s">
        <v>44</v>
      </c>
      <c r="F10" s="9">
        <v>2</v>
      </c>
      <c r="G10" s="9">
        <v>2</v>
      </c>
      <c r="H10" s="9">
        <v>5</v>
      </c>
      <c r="I10" s="4" t="b">
        <v>1</v>
      </c>
      <c r="J10" t="s">
        <v>77</v>
      </c>
      <c r="K10" t="s">
        <v>77</v>
      </c>
      <c r="L10" t="s">
        <v>77</v>
      </c>
      <c r="M10" t="s">
        <v>77</v>
      </c>
      <c r="N10" s="6" t="s">
        <v>113</v>
      </c>
      <c r="O10" t="b">
        <v>0</v>
      </c>
      <c r="P10" t="b">
        <v>0</v>
      </c>
      <c r="Q10" s="4" t="b">
        <v>0</v>
      </c>
      <c r="R10" t="b">
        <v>0</v>
      </c>
      <c r="S10" t="b">
        <v>0</v>
      </c>
      <c r="T10" s="4" t="b">
        <v>0</v>
      </c>
      <c r="U10" t="s">
        <v>77</v>
      </c>
      <c r="V10" t="s">
        <v>77</v>
      </c>
      <c r="W10" s="6" t="s">
        <v>146</v>
      </c>
      <c r="X10" t="b">
        <v>1</v>
      </c>
      <c r="Y10" t="b">
        <v>1</v>
      </c>
      <c r="Z10" s="4" t="b">
        <v>0</v>
      </c>
      <c r="AA10" t="b">
        <v>1</v>
      </c>
      <c r="AB10" t="b">
        <v>1</v>
      </c>
      <c r="AC10" s="4" t="b">
        <v>0</v>
      </c>
      <c r="AD10" t="s">
        <v>77</v>
      </c>
      <c r="AE10" t="s">
        <v>77</v>
      </c>
      <c r="AF10" s="6" t="s">
        <v>114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s="6" t="b">
        <v>1</v>
      </c>
      <c r="AN10" t="b">
        <v>1</v>
      </c>
      <c r="AO10" t="b">
        <v>1</v>
      </c>
      <c r="AP10" s="6" t="b">
        <v>1</v>
      </c>
      <c r="AQ10" t="b">
        <v>1</v>
      </c>
      <c r="AR10" t="b">
        <v>1</v>
      </c>
      <c r="AS10" s="6" t="b">
        <v>1</v>
      </c>
      <c r="AT10" t="b">
        <v>1</v>
      </c>
      <c r="AU10" t="b">
        <v>1</v>
      </c>
      <c r="AV10" s="6" t="b">
        <v>1</v>
      </c>
      <c r="AW10" t="b">
        <v>1</v>
      </c>
      <c r="AX10" t="b">
        <v>1</v>
      </c>
      <c r="AY10" s="6" t="b">
        <v>0</v>
      </c>
      <c r="AZ10" t="b">
        <v>0</v>
      </c>
      <c r="BA10" t="b">
        <v>0</v>
      </c>
      <c r="BB10" s="6" t="b">
        <v>0</v>
      </c>
      <c r="BC10" t="b">
        <v>0</v>
      </c>
      <c r="BD10" t="b">
        <v>0</v>
      </c>
    </row>
    <row r="11" spans="1:56" x14ac:dyDescent="0.2">
      <c r="A11" s="1" t="s">
        <v>8</v>
      </c>
      <c r="B11" t="s">
        <v>88</v>
      </c>
      <c r="C11" s="1" t="s">
        <v>45</v>
      </c>
      <c r="D11" s="1" t="s">
        <v>46</v>
      </c>
      <c r="E11" s="1" t="s">
        <v>47</v>
      </c>
      <c r="F11" s="9">
        <v>1</v>
      </c>
      <c r="G11" s="9">
        <v>1</v>
      </c>
      <c r="H11" s="9">
        <v>3</v>
      </c>
      <c r="I11" s="4" t="b">
        <v>1</v>
      </c>
      <c r="J11" t="s">
        <v>77</v>
      </c>
      <c r="K11" t="s">
        <v>77</v>
      </c>
      <c r="L11" t="s">
        <v>77</v>
      </c>
      <c r="M11" t="s">
        <v>77</v>
      </c>
      <c r="N11" s="6" t="s">
        <v>115</v>
      </c>
      <c r="O11" t="b">
        <v>1</v>
      </c>
      <c r="P11" t="b">
        <v>0</v>
      </c>
      <c r="Q11" s="4" t="b">
        <v>0</v>
      </c>
      <c r="R11" t="b">
        <v>1</v>
      </c>
      <c r="S11" t="b">
        <v>0</v>
      </c>
      <c r="T11" s="4" t="b">
        <v>0</v>
      </c>
      <c r="U11" t="s">
        <v>77</v>
      </c>
      <c r="V11" t="s">
        <v>77</v>
      </c>
      <c r="W11" s="6" t="s">
        <v>147</v>
      </c>
      <c r="X11" t="b">
        <v>1</v>
      </c>
      <c r="Y11" t="b">
        <v>1</v>
      </c>
      <c r="Z11" s="4" t="b">
        <v>0</v>
      </c>
      <c r="AA11" t="b">
        <v>1</v>
      </c>
      <c r="AB11" t="b">
        <v>1</v>
      </c>
      <c r="AC11" s="4" t="b">
        <v>0</v>
      </c>
      <c r="AD11" t="s">
        <v>77</v>
      </c>
      <c r="AE11" t="s">
        <v>77</v>
      </c>
      <c r="AF11" s="6" t="s">
        <v>148</v>
      </c>
      <c r="AG11" t="b">
        <v>1</v>
      </c>
      <c r="AH11" t="b">
        <v>0</v>
      </c>
      <c r="AI11" t="b">
        <v>0</v>
      </c>
      <c r="AJ11" t="b">
        <v>1</v>
      </c>
      <c r="AK11" t="b">
        <v>0</v>
      </c>
      <c r="AL11" t="b">
        <v>0</v>
      </c>
      <c r="AM11" s="6" t="b">
        <v>0</v>
      </c>
      <c r="AN11" t="b">
        <v>0</v>
      </c>
      <c r="AO11" t="b">
        <v>0</v>
      </c>
      <c r="AP11" s="6" t="b">
        <v>0</v>
      </c>
      <c r="AQ11" t="b">
        <v>0</v>
      </c>
      <c r="AR11" t="b">
        <v>0</v>
      </c>
      <c r="AS11" s="6" t="b">
        <v>0</v>
      </c>
      <c r="AT11" t="b">
        <v>0</v>
      </c>
      <c r="AU11" t="b">
        <v>0</v>
      </c>
      <c r="AV11" s="6" t="b">
        <v>0</v>
      </c>
      <c r="AW11" t="b">
        <v>0</v>
      </c>
      <c r="AX11" t="b">
        <v>0</v>
      </c>
      <c r="AY11" s="6" t="b">
        <v>0</v>
      </c>
      <c r="AZ11" t="b">
        <v>0</v>
      </c>
      <c r="BA11" t="b">
        <v>0</v>
      </c>
      <c r="BB11" s="6" t="b">
        <v>0</v>
      </c>
      <c r="BC11" t="b">
        <v>0</v>
      </c>
      <c r="BD11" t="b">
        <v>0</v>
      </c>
    </row>
    <row r="12" spans="1:56" x14ac:dyDescent="0.2">
      <c r="A12" s="1" t="s">
        <v>9</v>
      </c>
      <c r="B12" t="s">
        <v>90</v>
      </c>
      <c r="C12" s="1" t="s">
        <v>49</v>
      </c>
      <c r="D12" s="1" t="s">
        <v>48</v>
      </c>
      <c r="E12" s="1" t="s">
        <v>50</v>
      </c>
      <c r="F12" s="9">
        <v>1</v>
      </c>
      <c r="G12" s="9">
        <v>3</v>
      </c>
      <c r="H12" s="9">
        <v>3</v>
      </c>
      <c r="I12" s="4" t="b">
        <v>1</v>
      </c>
      <c r="J12" t="s">
        <v>77</v>
      </c>
      <c r="K12" t="s">
        <v>77</v>
      </c>
      <c r="L12" t="s">
        <v>77</v>
      </c>
      <c r="M12" t="s">
        <v>77</v>
      </c>
      <c r="N12" s="6" t="s">
        <v>133</v>
      </c>
      <c r="O12" t="b">
        <v>1</v>
      </c>
      <c r="P12" t="b">
        <v>1</v>
      </c>
      <c r="Q12" s="4" t="b">
        <v>0</v>
      </c>
      <c r="R12" t="b">
        <v>1</v>
      </c>
      <c r="S12" t="b">
        <v>0</v>
      </c>
      <c r="T12" s="4" t="b">
        <v>0</v>
      </c>
      <c r="U12" t="s">
        <v>77</v>
      </c>
      <c r="V12" t="s">
        <v>77</v>
      </c>
      <c r="W12" s="6" t="s">
        <v>149</v>
      </c>
      <c r="X12" t="b">
        <v>1</v>
      </c>
      <c r="Y12" t="b">
        <v>1</v>
      </c>
      <c r="Z12" s="4" t="b">
        <v>0</v>
      </c>
      <c r="AA12" t="b">
        <v>1</v>
      </c>
      <c r="AB12" t="b">
        <v>1</v>
      </c>
      <c r="AC12" s="4" t="b">
        <v>0</v>
      </c>
      <c r="AD12" t="s">
        <v>77</v>
      </c>
      <c r="AE12" t="s">
        <v>77</v>
      </c>
      <c r="AF12" s="6" t="s">
        <v>150</v>
      </c>
      <c r="AG12" t="b">
        <v>1</v>
      </c>
      <c r="AH12" t="b">
        <v>0</v>
      </c>
      <c r="AI12" t="b">
        <v>0</v>
      </c>
      <c r="AJ12" t="b">
        <v>1</v>
      </c>
      <c r="AK12" t="b">
        <v>0</v>
      </c>
      <c r="AL12" t="b">
        <v>0</v>
      </c>
      <c r="AM12" s="6" t="b">
        <v>0</v>
      </c>
      <c r="AN12" t="b">
        <v>0</v>
      </c>
      <c r="AO12" t="b">
        <v>0</v>
      </c>
      <c r="AP12" s="6" t="b">
        <v>0</v>
      </c>
      <c r="AQ12" t="b">
        <v>0</v>
      </c>
      <c r="AR12" t="b">
        <v>0</v>
      </c>
      <c r="AS12" s="6" t="b">
        <v>0</v>
      </c>
      <c r="AT12" t="b">
        <v>0</v>
      </c>
      <c r="AU12" t="b">
        <v>0</v>
      </c>
      <c r="AV12" s="6" t="b">
        <v>0</v>
      </c>
      <c r="AW12" t="b">
        <v>0</v>
      </c>
      <c r="AX12" t="b">
        <v>0</v>
      </c>
      <c r="AY12" s="6" t="b">
        <v>0</v>
      </c>
      <c r="AZ12" t="b">
        <v>0</v>
      </c>
      <c r="BA12" t="b">
        <v>0</v>
      </c>
      <c r="BB12" s="6" t="b">
        <v>0</v>
      </c>
      <c r="BC12" t="b">
        <v>0</v>
      </c>
      <c r="BD12" t="b">
        <v>0</v>
      </c>
    </row>
    <row r="13" spans="1:56" x14ac:dyDescent="0.2">
      <c r="A13" s="1" t="s">
        <v>10</v>
      </c>
      <c r="B13" t="s">
        <v>89</v>
      </c>
      <c r="C13" s="1" t="s">
        <v>52</v>
      </c>
      <c r="D13" s="1" t="s">
        <v>51</v>
      </c>
      <c r="E13" s="1" t="s">
        <v>53</v>
      </c>
      <c r="F13" s="9">
        <v>1</v>
      </c>
      <c r="G13" s="9">
        <v>2</v>
      </c>
      <c r="H13" s="9">
        <v>2</v>
      </c>
      <c r="I13" s="4" t="b">
        <v>1</v>
      </c>
      <c r="J13" t="s">
        <v>77</v>
      </c>
      <c r="K13" t="s">
        <v>77</v>
      </c>
      <c r="L13" t="s">
        <v>77</v>
      </c>
      <c r="M13" t="s">
        <v>77</v>
      </c>
      <c r="N13" s="6" t="s">
        <v>116</v>
      </c>
      <c r="O13" t="b">
        <v>0</v>
      </c>
      <c r="P13" t="b">
        <v>0</v>
      </c>
      <c r="Q13" s="4" t="b">
        <v>0</v>
      </c>
      <c r="R13" t="b">
        <v>0</v>
      </c>
      <c r="S13" t="b">
        <v>0</v>
      </c>
      <c r="T13" s="4" t="b">
        <v>0</v>
      </c>
      <c r="U13" t="s">
        <v>77</v>
      </c>
      <c r="V13" t="s">
        <v>77</v>
      </c>
      <c r="W13" s="6" t="s">
        <v>117</v>
      </c>
      <c r="X13" t="b">
        <v>1</v>
      </c>
      <c r="Y13" t="b">
        <v>0</v>
      </c>
      <c r="Z13" s="4" t="b">
        <v>0</v>
      </c>
      <c r="AA13" t="b">
        <v>1</v>
      </c>
      <c r="AB13" t="b">
        <v>0</v>
      </c>
      <c r="AC13" s="4" t="b">
        <v>0</v>
      </c>
      <c r="AD13" t="s">
        <v>77</v>
      </c>
      <c r="AE13" t="s">
        <v>77</v>
      </c>
      <c r="AF13" s="6" t="s">
        <v>152</v>
      </c>
      <c r="AG13" t="b">
        <v>1</v>
      </c>
      <c r="AH13" t="b">
        <v>0</v>
      </c>
      <c r="AI13" t="b">
        <v>0</v>
      </c>
      <c r="AJ13" t="b">
        <v>1</v>
      </c>
      <c r="AK13" t="b">
        <v>0</v>
      </c>
      <c r="AL13" t="b">
        <v>0</v>
      </c>
      <c r="AM13" s="6" t="b">
        <v>1</v>
      </c>
      <c r="AN13" t="b">
        <v>1</v>
      </c>
      <c r="AO13" t="b">
        <v>1</v>
      </c>
      <c r="AP13" s="6" t="b">
        <v>1</v>
      </c>
      <c r="AQ13" t="b">
        <v>1</v>
      </c>
      <c r="AR13" t="b">
        <v>1</v>
      </c>
      <c r="AS13" s="6" t="b">
        <v>1</v>
      </c>
      <c r="AT13" t="b">
        <v>1</v>
      </c>
      <c r="AU13" t="b">
        <v>1</v>
      </c>
      <c r="AV13" s="6" t="b">
        <v>1</v>
      </c>
      <c r="AW13" t="b">
        <v>1</v>
      </c>
      <c r="AX13" t="b">
        <v>1</v>
      </c>
      <c r="AY13" s="6" t="b">
        <v>0</v>
      </c>
      <c r="AZ13" t="b">
        <v>0</v>
      </c>
      <c r="BA13" t="b">
        <v>0</v>
      </c>
      <c r="BB13" s="6" t="b">
        <v>0</v>
      </c>
      <c r="BC13" t="b">
        <v>0</v>
      </c>
      <c r="BD13" t="b">
        <v>0</v>
      </c>
    </row>
    <row r="14" spans="1:56" x14ac:dyDescent="0.2">
      <c r="A14" s="1" t="s">
        <v>11</v>
      </c>
      <c r="B14" t="s">
        <v>98</v>
      </c>
      <c r="C14" s="1" t="s">
        <v>22</v>
      </c>
      <c r="D14" s="1" t="s">
        <v>24</v>
      </c>
      <c r="E14" s="1" t="s">
        <v>23</v>
      </c>
      <c r="F14" s="9">
        <v>1</v>
      </c>
      <c r="G14" s="9">
        <v>1</v>
      </c>
      <c r="H14" s="9">
        <v>1</v>
      </c>
      <c r="I14" s="4" t="b">
        <v>1</v>
      </c>
      <c r="J14" t="s">
        <v>77</v>
      </c>
      <c r="K14" t="s">
        <v>77</v>
      </c>
      <c r="L14" t="s">
        <v>77</v>
      </c>
      <c r="M14" t="s">
        <v>77</v>
      </c>
      <c r="N14" s="6" t="s">
        <v>118</v>
      </c>
      <c r="O14" t="b">
        <v>1</v>
      </c>
      <c r="P14" t="b">
        <v>0</v>
      </c>
      <c r="Q14" s="4" t="b">
        <v>0</v>
      </c>
      <c r="R14" t="b">
        <v>1</v>
      </c>
      <c r="S14" t="b">
        <v>0</v>
      </c>
      <c r="T14" s="4" t="b">
        <v>0</v>
      </c>
      <c r="U14" t="s">
        <v>77</v>
      </c>
      <c r="V14" t="s">
        <v>77</v>
      </c>
      <c r="W14" s="6" t="s">
        <v>119</v>
      </c>
      <c r="X14" t="b">
        <v>1</v>
      </c>
      <c r="Y14" t="b">
        <v>0</v>
      </c>
      <c r="Z14" s="4" t="b">
        <v>0</v>
      </c>
      <c r="AA14" t="b">
        <v>1</v>
      </c>
      <c r="AB14" t="b">
        <v>0</v>
      </c>
      <c r="AC14" s="4" t="b">
        <v>0</v>
      </c>
      <c r="AD14" t="s">
        <v>77</v>
      </c>
      <c r="AE14" t="s">
        <v>77</v>
      </c>
      <c r="AF14" s="6" t="s">
        <v>153</v>
      </c>
      <c r="AG14" t="b">
        <v>1</v>
      </c>
      <c r="AH14" t="b">
        <v>0</v>
      </c>
      <c r="AI14" t="b">
        <v>0</v>
      </c>
      <c r="AJ14" t="b">
        <v>1</v>
      </c>
      <c r="AK14" t="b">
        <v>0</v>
      </c>
      <c r="AL14" t="b">
        <v>0</v>
      </c>
      <c r="AM14" s="6" t="b">
        <v>1</v>
      </c>
      <c r="AN14" t="b">
        <v>1</v>
      </c>
      <c r="AO14" t="b">
        <v>1</v>
      </c>
      <c r="AP14" s="6" t="b">
        <v>1</v>
      </c>
      <c r="AQ14" t="b">
        <v>1</v>
      </c>
      <c r="AR14" t="b">
        <v>1</v>
      </c>
      <c r="AS14" s="6" t="b">
        <v>1</v>
      </c>
      <c r="AT14" t="b">
        <v>1</v>
      </c>
      <c r="AU14" t="b">
        <v>1</v>
      </c>
      <c r="AV14" s="6" t="b">
        <v>1</v>
      </c>
      <c r="AW14" t="b">
        <v>1</v>
      </c>
      <c r="AX14" t="b">
        <v>1</v>
      </c>
      <c r="AY14" s="6" t="b">
        <v>1</v>
      </c>
      <c r="AZ14" t="b">
        <v>1</v>
      </c>
      <c r="BA14" t="b">
        <v>1</v>
      </c>
      <c r="BB14" s="6" t="b">
        <v>1</v>
      </c>
      <c r="BC14" t="b">
        <v>1</v>
      </c>
      <c r="BD14" t="b">
        <v>1</v>
      </c>
    </row>
    <row r="15" spans="1:56" x14ac:dyDescent="0.2">
      <c r="A15" s="1" t="s">
        <v>12</v>
      </c>
      <c r="B15" t="s">
        <v>91</v>
      </c>
      <c r="C15" s="1" t="s">
        <v>55</v>
      </c>
      <c r="D15" s="1" t="s">
        <v>54</v>
      </c>
      <c r="E15" s="1" t="s">
        <v>56</v>
      </c>
      <c r="F15" s="9">
        <v>1</v>
      </c>
      <c r="G15" s="9">
        <v>1</v>
      </c>
      <c r="H15" s="9">
        <v>1</v>
      </c>
      <c r="I15" s="4" t="b">
        <v>1</v>
      </c>
      <c r="J15" t="s">
        <v>77</v>
      </c>
      <c r="K15" t="s">
        <v>106</v>
      </c>
      <c r="L15" t="s">
        <v>77</v>
      </c>
      <c r="M15" t="s">
        <v>77</v>
      </c>
      <c r="N15" s="10" t="s">
        <v>134</v>
      </c>
      <c r="O15" t="b">
        <v>1</v>
      </c>
      <c r="P15" t="b">
        <v>1</v>
      </c>
      <c r="Q15" s="4" t="b">
        <v>1</v>
      </c>
      <c r="R15" t="b">
        <v>1</v>
      </c>
      <c r="S15" t="b">
        <v>1</v>
      </c>
      <c r="T15" s="4" t="b">
        <v>0</v>
      </c>
      <c r="U15" t="s">
        <v>77</v>
      </c>
      <c r="V15" t="s">
        <v>77</v>
      </c>
      <c r="W15" s="6" t="s">
        <v>120</v>
      </c>
      <c r="X15" t="b">
        <v>1</v>
      </c>
      <c r="Y15" t="b">
        <v>0</v>
      </c>
      <c r="Z15" s="4" t="b">
        <v>0</v>
      </c>
      <c r="AA15" t="b">
        <v>1</v>
      </c>
      <c r="AB15" t="b">
        <v>0</v>
      </c>
      <c r="AC15" s="4" t="b">
        <v>0</v>
      </c>
      <c r="AD15" t="s">
        <v>77</v>
      </c>
      <c r="AE15" t="s">
        <v>77</v>
      </c>
      <c r="AF15" s="6" t="s">
        <v>154</v>
      </c>
      <c r="AG15" t="b">
        <v>1</v>
      </c>
      <c r="AH15" t="b">
        <v>0</v>
      </c>
      <c r="AI15" t="b">
        <v>0</v>
      </c>
      <c r="AJ15" t="b">
        <v>1</v>
      </c>
      <c r="AK15" t="b">
        <v>0</v>
      </c>
      <c r="AL15" t="b">
        <v>0</v>
      </c>
      <c r="AM15" s="6" t="b">
        <v>0</v>
      </c>
      <c r="AN15" t="b">
        <v>0</v>
      </c>
      <c r="AO15" t="b">
        <v>0</v>
      </c>
      <c r="AP15" s="6" t="b">
        <v>0</v>
      </c>
      <c r="AQ15" t="b">
        <v>0</v>
      </c>
      <c r="AR15" t="b">
        <v>0</v>
      </c>
      <c r="AS15" s="6" t="b">
        <v>1</v>
      </c>
      <c r="AT15" t="b">
        <v>1</v>
      </c>
      <c r="AU15" t="b">
        <v>1</v>
      </c>
      <c r="AV15" s="6" t="b">
        <v>1</v>
      </c>
      <c r="AW15" t="b">
        <v>1</v>
      </c>
      <c r="AX15" t="b">
        <v>1</v>
      </c>
      <c r="AY15" s="6" t="b">
        <v>0</v>
      </c>
      <c r="AZ15" t="b">
        <v>0</v>
      </c>
      <c r="BA15" t="b">
        <v>0</v>
      </c>
      <c r="BB15" s="6" t="b">
        <v>0</v>
      </c>
      <c r="BC15" t="b">
        <v>0</v>
      </c>
      <c r="BD15" t="b">
        <v>0</v>
      </c>
    </row>
    <row r="16" spans="1:56" x14ac:dyDescent="0.2">
      <c r="A16" s="1" t="s">
        <v>13</v>
      </c>
      <c r="B16" t="s">
        <v>92</v>
      </c>
      <c r="C16" s="1" t="s">
        <v>58</v>
      </c>
      <c r="D16" s="1" t="s">
        <v>57</v>
      </c>
      <c r="E16" s="1" t="s">
        <v>59</v>
      </c>
      <c r="F16" s="9">
        <v>1</v>
      </c>
      <c r="G16" s="9">
        <v>1</v>
      </c>
      <c r="H16" s="9">
        <v>1</v>
      </c>
      <c r="I16" s="4" t="b">
        <v>1</v>
      </c>
      <c r="J16" t="s">
        <v>77</v>
      </c>
      <c r="K16" t="s">
        <v>77</v>
      </c>
      <c r="L16" t="s">
        <v>77</v>
      </c>
      <c r="M16" t="s">
        <v>77</v>
      </c>
      <c r="N16" s="6" t="s">
        <v>121</v>
      </c>
      <c r="O16" t="b">
        <v>1</v>
      </c>
      <c r="P16" t="b">
        <v>0</v>
      </c>
      <c r="Q16" s="4" t="b">
        <v>0</v>
      </c>
      <c r="R16" t="b">
        <v>1</v>
      </c>
      <c r="S16" t="b">
        <v>0</v>
      </c>
      <c r="T16" s="4" t="b">
        <v>0</v>
      </c>
      <c r="U16" t="s">
        <v>77</v>
      </c>
      <c r="V16" t="s">
        <v>77</v>
      </c>
      <c r="W16" s="6" t="s">
        <v>155</v>
      </c>
      <c r="X16" t="b">
        <v>1</v>
      </c>
      <c r="Y16" t="b">
        <v>0</v>
      </c>
      <c r="Z16" s="4" t="b">
        <v>0</v>
      </c>
      <c r="AA16" t="b">
        <v>1</v>
      </c>
      <c r="AB16" t="b">
        <v>0</v>
      </c>
      <c r="AC16" s="4" t="b">
        <v>0</v>
      </c>
      <c r="AD16" t="s">
        <v>77</v>
      </c>
      <c r="AE16" t="s">
        <v>77</v>
      </c>
      <c r="AF16" s="6" t="s">
        <v>156</v>
      </c>
      <c r="AG16" t="b">
        <v>1</v>
      </c>
      <c r="AH16" t="b">
        <v>0</v>
      </c>
      <c r="AI16" t="b">
        <v>0</v>
      </c>
      <c r="AJ16" t="b">
        <v>1</v>
      </c>
      <c r="AK16" t="b">
        <v>0</v>
      </c>
      <c r="AL16" t="b">
        <v>0</v>
      </c>
      <c r="AM16" s="6" t="b">
        <v>1</v>
      </c>
      <c r="AN16" t="b">
        <v>1</v>
      </c>
      <c r="AO16" t="b">
        <v>1</v>
      </c>
      <c r="AP16" s="6" t="b">
        <v>1</v>
      </c>
      <c r="AQ16" t="b">
        <v>1</v>
      </c>
      <c r="AR16" t="b">
        <v>1</v>
      </c>
      <c r="AS16" s="6" t="b">
        <v>1</v>
      </c>
      <c r="AT16" t="b">
        <v>1</v>
      </c>
      <c r="AU16" t="b">
        <v>1</v>
      </c>
      <c r="AV16" s="6" t="b">
        <v>1</v>
      </c>
      <c r="AW16" t="b">
        <v>1</v>
      </c>
      <c r="AX16" t="b">
        <v>1</v>
      </c>
      <c r="AY16" s="6" t="b">
        <v>1</v>
      </c>
      <c r="AZ16" t="b">
        <v>1</v>
      </c>
      <c r="BA16" t="b">
        <v>1</v>
      </c>
      <c r="BB16" s="6" t="b">
        <v>1</v>
      </c>
      <c r="BC16" t="b">
        <v>1</v>
      </c>
      <c r="BD16" t="b">
        <v>1</v>
      </c>
    </row>
    <row r="17" spans="1:56" x14ac:dyDescent="0.2">
      <c r="A17" s="1" t="s">
        <v>14</v>
      </c>
      <c r="B17" t="s">
        <v>93</v>
      </c>
      <c r="C17" s="1" t="s">
        <v>61</v>
      </c>
      <c r="D17" s="1" t="s">
        <v>60</v>
      </c>
      <c r="E17" s="1" t="s">
        <v>62</v>
      </c>
      <c r="F17" s="9">
        <v>1</v>
      </c>
      <c r="G17" s="9">
        <v>1</v>
      </c>
      <c r="H17" s="9">
        <v>1</v>
      </c>
      <c r="I17" s="4" t="b">
        <v>1</v>
      </c>
      <c r="J17" t="s">
        <v>77</v>
      </c>
      <c r="K17" t="s">
        <v>77</v>
      </c>
      <c r="L17" t="s">
        <v>77</v>
      </c>
      <c r="M17" t="s">
        <v>77</v>
      </c>
      <c r="N17" s="6" t="s">
        <v>122</v>
      </c>
      <c r="O17" t="b">
        <v>1</v>
      </c>
      <c r="P17" t="b">
        <v>0</v>
      </c>
      <c r="Q17" s="4" t="b">
        <v>0</v>
      </c>
      <c r="R17" t="b">
        <v>1</v>
      </c>
      <c r="S17" t="b">
        <v>0</v>
      </c>
      <c r="T17" s="4" t="b">
        <v>0</v>
      </c>
      <c r="U17" t="s">
        <v>77</v>
      </c>
      <c r="V17" t="s">
        <v>77</v>
      </c>
      <c r="W17" s="6" t="s">
        <v>157</v>
      </c>
      <c r="X17" t="b">
        <v>1</v>
      </c>
      <c r="Y17" t="b">
        <v>0</v>
      </c>
      <c r="Z17" s="4" t="b">
        <v>0</v>
      </c>
      <c r="AA17" t="b">
        <v>1</v>
      </c>
      <c r="AB17" t="b">
        <v>0</v>
      </c>
      <c r="AC17" s="4" t="b">
        <v>0</v>
      </c>
      <c r="AD17" t="s">
        <v>77</v>
      </c>
      <c r="AE17" t="s">
        <v>77</v>
      </c>
      <c r="AF17" s="6" t="s">
        <v>158</v>
      </c>
      <c r="AG17" t="b">
        <v>1</v>
      </c>
      <c r="AH17" t="b">
        <v>0</v>
      </c>
      <c r="AI17" t="b">
        <v>0</v>
      </c>
      <c r="AJ17" t="b">
        <v>1</v>
      </c>
      <c r="AK17" t="b">
        <v>0</v>
      </c>
      <c r="AL17" t="b">
        <v>0</v>
      </c>
      <c r="AM17" s="6" t="b">
        <v>1</v>
      </c>
      <c r="AN17" t="b">
        <v>1</v>
      </c>
      <c r="AO17" t="b">
        <v>1</v>
      </c>
      <c r="AP17" s="6" t="b">
        <v>1</v>
      </c>
      <c r="AQ17" t="b">
        <v>1</v>
      </c>
      <c r="AR17" t="b">
        <v>1</v>
      </c>
      <c r="AS17" s="6" t="b">
        <v>1</v>
      </c>
      <c r="AT17" t="b">
        <v>1</v>
      </c>
      <c r="AU17" t="b">
        <v>1</v>
      </c>
      <c r="AV17" s="6" t="b">
        <v>1</v>
      </c>
      <c r="AW17" t="b">
        <v>1</v>
      </c>
      <c r="AX17" t="b">
        <v>1</v>
      </c>
      <c r="AY17" s="6" t="b">
        <v>0</v>
      </c>
      <c r="AZ17" t="b">
        <v>0</v>
      </c>
      <c r="BA17" t="b">
        <v>0</v>
      </c>
      <c r="BB17" s="6" t="b">
        <v>0</v>
      </c>
      <c r="BC17" t="b">
        <v>0</v>
      </c>
      <c r="BD17" t="b">
        <v>0</v>
      </c>
    </row>
    <row r="18" spans="1:56" x14ac:dyDescent="0.2">
      <c r="A18" s="1" t="s">
        <v>15</v>
      </c>
      <c r="B18" t="s">
        <v>94</v>
      </c>
      <c r="C18" s="1" t="s">
        <v>64</v>
      </c>
      <c r="D18" s="1" t="s">
        <v>63</v>
      </c>
      <c r="E18" s="1" t="s">
        <v>65</v>
      </c>
      <c r="F18" s="9">
        <v>2</v>
      </c>
      <c r="G18" s="9">
        <v>6</v>
      </c>
      <c r="H18" s="9">
        <v>6</v>
      </c>
      <c r="I18" s="4" t="b">
        <v>1</v>
      </c>
      <c r="J18" t="s">
        <v>77</v>
      </c>
      <c r="K18" t="s">
        <v>77</v>
      </c>
      <c r="L18" t="s">
        <v>77</v>
      </c>
      <c r="M18" t="s">
        <v>77</v>
      </c>
      <c r="N18" s="6" t="s">
        <v>123</v>
      </c>
      <c r="O18" t="b">
        <v>0</v>
      </c>
      <c r="P18" t="b">
        <v>0</v>
      </c>
      <c r="Q18" s="4" t="b">
        <v>0</v>
      </c>
      <c r="R18" t="b">
        <v>0</v>
      </c>
      <c r="S18" t="b">
        <v>0</v>
      </c>
      <c r="T18" s="4" t="b">
        <v>0</v>
      </c>
      <c r="U18" t="s">
        <v>77</v>
      </c>
      <c r="V18" t="s">
        <v>77</v>
      </c>
      <c r="W18" s="6" t="s">
        <v>124</v>
      </c>
      <c r="X18" t="b">
        <v>1</v>
      </c>
      <c r="Y18" t="b">
        <v>0</v>
      </c>
      <c r="Z18" s="4" t="b">
        <v>0</v>
      </c>
      <c r="AA18" t="b">
        <v>1</v>
      </c>
      <c r="AB18" t="b">
        <v>0</v>
      </c>
      <c r="AC18" s="4" t="b">
        <v>0</v>
      </c>
      <c r="AD18" t="s">
        <v>77</v>
      </c>
      <c r="AE18" t="s">
        <v>77</v>
      </c>
      <c r="AF18" s="6" t="s">
        <v>125</v>
      </c>
      <c r="AG18" t="b">
        <v>1</v>
      </c>
      <c r="AH18" t="b">
        <v>0</v>
      </c>
      <c r="AI18" t="b">
        <v>0</v>
      </c>
      <c r="AJ18" t="b">
        <v>1</v>
      </c>
      <c r="AK18" t="b">
        <v>0</v>
      </c>
      <c r="AL18" t="b">
        <v>0</v>
      </c>
      <c r="AM18" s="6" t="b">
        <v>1</v>
      </c>
      <c r="AN18" t="b">
        <v>1</v>
      </c>
      <c r="AO18" t="b">
        <v>1</v>
      </c>
      <c r="AP18" s="6" t="b">
        <v>1</v>
      </c>
      <c r="AQ18" t="b">
        <v>1</v>
      </c>
      <c r="AR18" t="b">
        <v>1</v>
      </c>
      <c r="AS18" s="6" t="b">
        <v>1</v>
      </c>
      <c r="AT18" t="b">
        <v>1</v>
      </c>
      <c r="AU18" t="b">
        <v>1</v>
      </c>
      <c r="AV18" s="6" t="b">
        <v>0</v>
      </c>
      <c r="AW18" t="b">
        <v>0</v>
      </c>
      <c r="AX18" t="b">
        <v>0</v>
      </c>
      <c r="AY18" s="6" t="b">
        <v>0</v>
      </c>
      <c r="AZ18" t="b">
        <v>0</v>
      </c>
      <c r="BA18" t="b">
        <v>0</v>
      </c>
      <c r="BB18" s="6" t="b">
        <v>0</v>
      </c>
      <c r="BC18" t="b">
        <v>0</v>
      </c>
      <c r="BD18" t="b">
        <v>0</v>
      </c>
    </row>
    <row r="19" spans="1:56" x14ac:dyDescent="0.2">
      <c r="A19" s="1" t="s">
        <v>16</v>
      </c>
      <c r="B19" t="s">
        <v>95</v>
      </c>
      <c r="C19" s="1" t="s">
        <v>67</v>
      </c>
      <c r="D19" s="1" t="s">
        <v>66</v>
      </c>
      <c r="E19" s="1" t="s">
        <v>68</v>
      </c>
      <c r="F19" s="9">
        <v>1</v>
      </c>
      <c r="G19" s="9">
        <v>1</v>
      </c>
      <c r="H19" s="9">
        <v>1</v>
      </c>
      <c r="I19" s="4" t="b">
        <v>1</v>
      </c>
      <c r="J19" t="s">
        <v>77</v>
      </c>
      <c r="K19" t="s">
        <v>77</v>
      </c>
      <c r="L19" t="s">
        <v>77</v>
      </c>
      <c r="M19" t="s">
        <v>77</v>
      </c>
      <c r="N19" s="6" t="s">
        <v>126</v>
      </c>
      <c r="O19" t="b">
        <v>1</v>
      </c>
      <c r="P19" t="b">
        <v>0</v>
      </c>
      <c r="Q19" s="4" t="b">
        <v>0</v>
      </c>
      <c r="R19" t="b">
        <v>1</v>
      </c>
      <c r="S19" t="b">
        <v>0</v>
      </c>
      <c r="T19" s="4" t="b">
        <v>0</v>
      </c>
      <c r="U19" t="s">
        <v>77</v>
      </c>
      <c r="V19" t="s">
        <v>77</v>
      </c>
      <c r="W19" s="6" t="s">
        <v>159</v>
      </c>
      <c r="X19" t="b">
        <v>1</v>
      </c>
      <c r="Y19" t="b">
        <v>0</v>
      </c>
      <c r="Z19" s="4" t="b">
        <v>0</v>
      </c>
      <c r="AA19" t="b">
        <v>1</v>
      </c>
      <c r="AB19" t="b">
        <v>0</v>
      </c>
      <c r="AC19" s="4" t="b">
        <v>0</v>
      </c>
      <c r="AD19" t="s">
        <v>77</v>
      </c>
      <c r="AE19" t="s">
        <v>77</v>
      </c>
      <c r="AF19" s="6" t="s">
        <v>160</v>
      </c>
      <c r="AG19" t="b">
        <v>1</v>
      </c>
      <c r="AH19" t="b">
        <v>0</v>
      </c>
      <c r="AI19" t="b">
        <v>0</v>
      </c>
      <c r="AJ19" t="b">
        <v>1</v>
      </c>
      <c r="AK19" t="b">
        <v>0</v>
      </c>
      <c r="AL19" t="b">
        <v>0</v>
      </c>
      <c r="AM19" s="6" t="b">
        <v>0</v>
      </c>
      <c r="AN19" t="b">
        <v>0</v>
      </c>
      <c r="AO19" t="b">
        <v>0</v>
      </c>
      <c r="AP19" s="6" t="b">
        <v>0</v>
      </c>
      <c r="AQ19" t="b">
        <v>0</v>
      </c>
      <c r="AR19" t="b">
        <v>0</v>
      </c>
      <c r="AS19" s="6" t="b">
        <v>0</v>
      </c>
      <c r="AT19" t="b">
        <v>0</v>
      </c>
      <c r="AU19" t="b">
        <v>0</v>
      </c>
      <c r="AV19" s="6" t="b">
        <v>0</v>
      </c>
      <c r="AW19" t="b">
        <v>0</v>
      </c>
      <c r="AX19" t="b">
        <v>0</v>
      </c>
      <c r="AY19" s="6" t="b">
        <v>0</v>
      </c>
      <c r="AZ19" t="b">
        <v>0</v>
      </c>
      <c r="BA19" t="b">
        <v>0</v>
      </c>
      <c r="BB19" s="6" t="b">
        <v>0</v>
      </c>
      <c r="BC19" t="b">
        <v>0</v>
      </c>
      <c r="BD19" t="b">
        <v>0</v>
      </c>
    </row>
    <row r="20" spans="1:56" x14ac:dyDescent="0.2">
      <c r="A20" s="1" t="s">
        <v>17</v>
      </c>
      <c r="B20" t="s">
        <v>96</v>
      </c>
      <c r="C20" s="1" t="s">
        <v>70</v>
      </c>
      <c r="D20" s="1" t="s">
        <v>69</v>
      </c>
      <c r="E20" s="1" t="s">
        <v>71</v>
      </c>
      <c r="F20" s="9">
        <v>1</v>
      </c>
      <c r="G20" s="9">
        <v>1</v>
      </c>
      <c r="H20" s="9">
        <v>1</v>
      </c>
      <c r="I20" s="4" t="b">
        <v>1</v>
      </c>
      <c r="J20" t="s">
        <v>77</v>
      </c>
      <c r="K20" t="s">
        <v>77</v>
      </c>
      <c r="L20" t="s">
        <v>77</v>
      </c>
      <c r="M20" t="s">
        <v>77</v>
      </c>
      <c r="N20" s="6" t="s">
        <v>127</v>
      </c>
      <c r="O20" t="b">
        <v>1</v>
      </c>
      <c r="P20" t="b">
        <v>0</v>
      </c>
      <c r="Q20" s="4" t="b">
        <v>0</v>
      </c>
      <c r="R20" t="b">
        <v>1</v>
      </c>
      <c r="S20" t="b">
        <v>0</v>
      </c>
      <c r="T20" s="4" t="b">
        <v>0</v>
      </c>
      <c r="U20" t="s">
        <v>77</v>
      </c>
      <c r="V20" t="s">
        <v>77</v>
      </c>
      <c r="W20" s="6" t="s">
        <v>161</v>
      </c>
      <c r="X20" t="b">
        <v>1</v>
      </c>
      <c r="Y20" t="b">
        <v>0</v>
      </c>
      <c r="Z20" s="4" t="b">
        <v>0</v>
      </c>
      <c r="AA20" t="b">
        <v>1</v>
      </c>
      <c r="AB20" t="b">
        <v>0</v>
      </c>
      <c r="AC20" s="4" t="b">
        <v>0</v>
      </c>
      <c r="AD20" t="s">
        <v>77</v>
      </c>
      <c r="AE20" t="s">
        <v>77</v>
      </c>
      <c r="AF20" s="6" t="s">
        <v>162</v>
      </c>
      <c r="AG20" t="b">
        <v>1</v>
      </c>
      <c r="AH20" t="b">
        <v>0</v>
      </c>
      <c r="AI20" t="b">
        <v>0</v>
      </c>
      <c r="AJ20" t="b">
        <v>1</v>
      </c>
      <c r="AK20" t="b">
        <v>0</v>
      </c>
      <c r="AL20" t="b">
        <v>0</v>
      </c>
      <c r="AM20" s="6" t="b">
        <v>1</v>
      </c>
      <c r="AN20" t="b">
        <v>1</v>
      </c>
      <c r="AO20" t="b">
        <v>1</v>
      </c>
      <c r="AP20" s="6" t="b">
        <v>1</v>
      </c>
      <c r="AQ20" t="b">
        <v>1</v>
      </c>
      <c r="AR20" t="b">
        <v>1</v>
      </c>
      <c r="AS20" s="6" t="b">
        <v>1</v>
      </c>
      <c r="AT20" t="b">
        <v>1</v>
      </c>
      <c r="AU20" t="b">
        <v>1</v>
      </c>
      <c r="AV20" s="6" t="b">
        <v>1</v>
      </c>
      <c r="AW20" t="b">
        <v>1</v>
      </c>
      <c r="AX20" t="b">
        <v>1</v>
      </c>
      <c r="AY20" s="6" t="b">
        <v>0</v>
      </c>
      <c r="AZ20" t="b">
        <v>0</v>
      </c>
      <c r="BA20" t="b">
        <v>0</v>
      </c>
      <c r="BB20" s="6" t="b">
        <v>0</v>
      </c>
      <c r="BC20" t="b">
        <v>0</v>
      </c>
      <c r="BD20" t="b">
        <v>0</v>
      </c>
    </row>
    <row r="21" spans="1:56" x14ac:dyDescent="0.2">
      <c r="A21" s="1" t="s">
        <v>18</v>
      </c>
      <c r="B21" t="s">
        <v>97</v>
      </c>
      <c r="C21" s="1" t="s">
        <v>73</v>
      </c>
      <c r="D21" s="1" t="s">
        <v>72</v>
      </c>
      <c r="E21" s="1" t="s">
        <v>74</v>
      </c>
      <c r="F21" s="9">
        <v>1</v>
      </c>
      <c r="G21" s="9">
        <v>1</v>
      </c>
      <c r="H21" s="9">
        <v>1</v>
      </c>
      <c r="I21" s="4" t="b">
        <v>1</v>
      </c>
      <c r="J21" t="s">
        <v>77</v>
      </c>
      <c r="K21" s="7" t="s">
        <v>77</v>
      </c>
      <c r="L21" t="s">
        <v>77</v>
      </c>
      <c r="M21" t="s">
        <v>77</v>
      </c>
      <c r="N21" s="10" t="s">
        <v>135</v>
      </c>
      <c r="O21" t="b">
        <v>1</v>
      </c>
      <c r="P21" t="b">
        <v>1</v>
      </c>
      <c r="Q21" s="4" t="b">
        <v>1</v>
      </c>
      <c r="R21" t="b">
        <v>1</v>
      </c>
      <c r="S21" t="b">
        <v>1</v>
      </c>
      <c r="T21" s="4" t="b">
        <v>1</v>
      </c>
      <c r="U21" t="s">
        <v>77</v>
      </c>
      <c r="V21" t="s">
        <v>77</v>
      </c>
      <c r="W21" s="10" t="s">
        <v>136</v>
      </c>
      <c r="X21" s="8" t="b">
        <v>1</v>
      </c>
      <c r="Y21" s="8" t="b">
        <v>1</v>
      </c>
      <c r="Z21" t="b">
        <v>1</v>
      </c>
      <c r="AA21" s="8" t="b">
        <v>1</v>
      </c>
      <c r="AB21" s="8" t="b">
        <v>1</v>
      </c>
      <c r="AC21" s="8" t="b">
        <v>1</v>
      </c>
      <c r="AD21" t="s">
        <v>77</v>
      </c>
      <c r="AE21" t="s">
        <v>77</v>
      </c>
      <c r="AF21" s="6" t="s">
        <v>163</v>
      </c>
      <c r="AG21" t="b">
        <v>1</v>
      </c>
      <c r="AH21" t="b">
        <v>0</v>
      </c>
      <c r="AI21" t="b">
        <v>0</v>
      </c>
      <c r="AJ21" t="b">
        <v>1</v>
      </c>
      <c r="AK21" t="b">
        <v>0</v>
      </c>
      <c r="AL21" t="b">
        <v>0</v>
      </c>
      <c r="AM21" s="6" t="b">
        <v>1</v>
      </c>
      <c r="AN21" t="b">
        <v>1</v>
      </c>
      <c r="AO21" t="b">
        <v>1</v>
      </c>
      <c r="AP21" s="6" t="b">
        <v>1</v>
      </c>
      <c r="AQ21" t="b">
        <v>1</v>
      </c>
      <c r="AR21" t="b">
        <v>1</v>
      </c>
      <c r="AS21" s="6" t="b">
        <v>1</v>
      </c>
      <c r="AT21" t="b">
        <v>1</v>
      </c>
      <c r="AU21" t="b">
        <v>1</v>
      </c>
      <c r="AV21" s="6" t="b">
        <v>1</v>
      </c>
      <c r="AW21" t="b">
        <v>1</v>
      </c>
      <c r="AX21" t="b">
        <v>1</v>
      </c>
      <c r="AY21" s="6" t="b">
        <v>0</v>
      </c>
      <c r="AZ21" t="b">
        <v>0</v>
      </c>
      <c r="BA21" t="b">
        <v>0</v>
      </c>
      <c r="BB21" s="6" t="b">
        <v>0</v>
      </c>
      <c r="BC21" t="b">
        <v>0</v>
      </c>
      <c r="BD21" t="b">
        <v>0</v>
      </c>
    </row>
    <row r="24" spans="1:56" x14ac:dyDescent="0.2">
      <c r="X24" s="3"/>
    </row>
    <row r="25" spans="1:56" x14ac:dyDescent="0.2">
      <c r="A25">
        <f>COUNTA(K4:K21)</f>
        <v>18</v>
      </c>
      <c r="N25" s="6" t="s">
        <v>183</v>
      </c>
      <c r="O25">
        <f t="shared" ref="O25:V25" si="0">COUNTIF(O4:O21, TRUE)</f>
        <v>13</v>
      </c>
      <c r="P25">
        <f t="shared" si="0"/>
        <v>4</v>
      </c>
      <c r="Q25">
        <f t="shared" si="0"/>
        <v>3</v>
      </c>
      <c r="R25">
        <f t="shared" si="0"/>
        <v>13</v>
      </c>
      <c r="S25">
        <f t="shared" si="0"/>
        <v>2</v>
      </c>
      <c r="T25">
        <f t="shared" si="0"/>
        <v>1</v>
      </c>
      <c r="U25">
        <f t="shared" si="0"/>
        <v>0</v>
      </c>
      <c r="V25">
        <f t="shared" si="0"/>
        <v>0</v>
      </c>
      <c r="W25" s="6" t="s">
        <v>183</v>
      </c>
      <c r="X25">
        <f t="shared" ref="X25:AC25" si="1">COUNTIF(X4:X21, TRUE)</f>
        <v>17</v>
      </c>
      <c r="Y25">
        <f t="shared" si="1"/>
        <v>8</v>
      </c>
      <c r="Z25">
        <f t="shared" si="1"/>
        <v>2</v>
      </c>
      <c r="AA25">
        <f t="shared" si="1"/>
        <v>17</v>
      </c>
      <c r="AB25">
        <f t="shared" si="1"/>
        <v>8</v>
      </c>
      <c r="AC25">
        <f t="shared" si="1"/>
        <v>1</v>
      </c>
      <c r="AF25" s="6" t="s">
        <v>183</v>
      </c>
      <c r="AG25">
        <f t="shared" ref="AG25:BD25" si="2">COUNTIF(AG4:AG21, TRUE)</f>
        <v>17</v>
      </c>
      <c r="AH25">
        <f t="shared" si="2"/>
        <v>0</v>
      </c>
      <c r="AI25">
        <f t="shared" si="2"/>
        <v>0</v>
      </c>
      <c r="AJ25">
        <f t="shared" si="2"/>
        <v>16</v>
      </c>
      <c r="AK25">
        <f t="shared" si="2"/>
        <v>0</v>
      </c>
      <c r="AL25">
        <f t="shared" si="2"/>
        <v>0</v>
      </c>
      <c r="AM25" s="6">
        <f t="shared" si="2"/>
        <v>11</v>
      </c>
      <c r="AN25">
        <f t="shared" si="2"/>
        <v>11</v>
      </c>
      <c r="AO25">
        <f t="shared" si="2"/>
        <v>11</v>
      </c>
      <c r="AP25" s="6">
        <f t="shared" si="2"/>
        <v>11</v>
      </c>
      <c r="AQ25">
        <f t="shared" si="2"/>
        <v>11</v>
      </c>
      <c r="AR25">
        <f t="shared" si="2"/>
        <v>11</v>
      </c>
      <c r="AS25" s="6">
        <f t="shared" si="2"/>
        <v>11</v>
      </c>
      <c r="AT25">
        <f t="shared" si="2"/>
        <v>11</v>
      </c>
      <c r="AU25">
        <f t="shared" si="2"/>
        <v>11</v>
      </c>
      <c r="AV25" s="6">
        <f t="shared" si="2"/>
        <v>10</v>
      </c>
      <c r="AW25">
        <f t="shared" si="2"/>
        <v>10</v>
      </c>
      <c r="AX25">
        <f t="shared" si="2"/>
        <v>10</v>
      </c>
      <c r="AY25" s="6">
        <f t="shared" si="2"/>
        <v>3</v>
      </c>
      <c r="AZ25">
        <f t="shared" si="2"/>
        <v>3</v>
      </c>
      <c r="BA25">
        <f t="shared" si="2"/>
        <v>3</v>
      </c>
      <c r="BB25" s="6">
        <f t="shared" si="2"/>
        <v>3</v>
      </c>
      <c r="BC25">
        <f t="shared" si="2"/>
        <v>3</v>
      </c>
      <c r="BD25">
        <f t="shared" si="2"/>
        <v>3</v>
      </c>
    </row>
    <row r="27" spans="1:56" x14ac:dyDescent="0.2">
      <c r="N27" s="6" t="s">
        <v>184</v>
      </c>
      <c r="O27">
        <f>O25/$A$25</f>
        <v>0.72222222222222221</v>
      </c>
      <c r="P27">
        <f>P25/$A$25</f>
        <v>0.22222222222222221</v>
      </c>
      <c r="Q27">
        <f>Q25/$A$25</f>
        <v>0.16666666666666666</v>
      </c>
      <c r="R27">
        <f>R25/$A$25</f>
        <v>0.72222222222222221</v>
      </c>
      <c r="S27">
        <f>S25/$A$25</f>
        <v>0.1111111111111111</v>
      </c>
      <c r="T27">
        <f t="shared" ref="T27" si="3">T25/$A$25</f>
        <v>5.5555555555555552E-2</v>
      </c>
      <c r="U27">
        <f t="shared" ref="U27:V27" si="4">U25/$A$25</f>
        <v>0</v>
      </c>
      <c r="V27">
        <f t="shared" si="4"/>
        <v>0</v>
      </c>
      <c r="W27" s="6" t="s">
        <v>184</v>
      </c>
      <c r="X27">
        <f>X25/$A$25</f>
        <v>0.94444444444444442</v>
      </c>
      <c r="Y27">
        <f>Y25/$A$25</f>
        <v>0.44444444444444442</v>
      </c>
      <c r="Z27">
        <f>Z25/$A$25</f>
        <v>0.1111111111111111</v>
      </c>
      <c r="AA27">
        <f>AA25/$A$25</f>
        <v>0.94444444444444442</v>
      </c>
      <c r="AB27">
        <f>AB25/$A$25</f>
        <v>0.44444444444444442</v>
      </c>
      <c r="AC27">
        <f t="shared" ref="AC27" si="5">AC25/$A$25</f>
        <v>5.5555555555555552E-2</v>
      </c>
      <c r="AD27">
        <f t="shared" ref="AD27" si="6">AD25/$A$25</f>
        <v>0</v>
      </c>
      <c r="AE27">
        <f t="shared" ref="AE27" si="7">AE25/$A$25</f>
        <v>0</v>
      </c>
      <c r="AF27" s="6" t="s">
        <v>184</v>
      </c>
      <c r="AG27">
        <f>AG25/$A$25</f>
        <v>0.94444444444444442</v>
      </c>
      <c r="AH27">
        <f>AH25/$A$25</f>
        <v>0</v>
      </c>
      <c r="AI27">
        <f>AI25/$A$25</f>
        <v>0</v>
      </c>
      <c r="AJ27">
        <f>AJ25/$A$25</f>
        <v>0.88888888888888884</v>
      </c>
      <c r="AK27">
        <f>AK25/$A$25</f>
        <v>0</v>
      </c>
      <c r="AL27">
        <f t="shared" ref="AL27" si="8">AL25/$A$25</f>
        <v>0</v>
      </c>
      <c r="AM27" s="6">
        <f>AM25/$A$25</f>
        <v>0.61111111111111116</v>
      </c>
      <c r="AN27">
        <f t="shared" ref="AN27" si="9">AN25/$A$25</f>
        <v>0.61111111111111116</v>
      </c>
      <c r="AO27">
        <f>AO25/$A$25</f>
        <v>0.61111111111111116</v>
      </c>
      <c r="AP27" s="6">
        <f>AP25/$A$25</f>
        <v>0.61111111111111116</v>
      </c>
      <c r="AQ27">
        <f t="shared" ref="AQ27" si="10">AQ25/$A$25</f>
        <v>0.61111111111111116</v>
      </c>
      <c r="AR27">
        <f>AR25/$A$25</f>
        <v>0.61111111111111116</v>
      </c>
      <c r="AS27" s="6">
        <f>AS25/$A$25</f>
        <v>0.61111111111111116</v>
      </c>
      <c r="AT27">
        <f t="shared" ref="AT27" si="11">AT25/$A$25</f>
        <v>0.61111111111111116</v>
      </c>
      <c r="AU27">
        <f>AU25/$A$25</f>
        <v>0.61111111111111116</v>
      </c>
      <c r="AV27" s="6">
        <f>AV25/$A$25</f>
        <v>0.55555555555555558</v>
      </c>
      <c r="AW27">
        <f t="shared" ref="AW27" si="12">AW25/$A$25</f>
        <v>0.55555555555555558</v>
      </c>
      <c r="AX27">
        <f>AX25/$A$25</f>
        <v>0.55555555555555558</v>
      </c>
      <c r="AY27" s="6">
        <f>AY25/$A$25</f>
        <v>0.16666666666666666</v>
      </c>
      <c r="AZ27">
        <f t="shared" ref="AZ27" si="13">AZ25/$A$25</f>
        <v>0.16666666666666666</v>
      </c>
      <c r="BA27">
        <f>BA25/$A$25</f>
        <v>0.16666666666666666</v>
      </c>
      <c r="BB27" s="6">
        <f>BB25/$A$25</f>
        <v>0.16666666666666666</v>
      </c>
      <c r="BC27">
        <f t="shared" ref="BC27" si="14">BC25/$A$25</f>
        <v>0.16666666666666666</v>
      </c>
      <c r="BD27">
        <f>BD25/$A$25</f>
        <v>0.16666666666666666</v>
      </c>
    </row>
    <row r="30" spans="1:56" x14ac:dyDescent="0.2">
      <c r="C30" t="s">
        <v>81</v>
      </c>
    </row>
    <row r="32" spans="1:56" x14ac:dyDescent="0.2">
      <c r="O32" t="s">
        <v>177</v>
      </c>
      <c r="P32" t="s">
        <v>182</v>
      </c>
      <c r="Q32" t="s">
        <v>178</v>
      </c>
      <c r="R32" t="s">
        <v>181</v>
      </c>
      <c r="S32" t="s">
        <v>180</v>
      </c>
      <c r="T32" t="s">
        <v>179</v>
      </c>
    </row>
    <row r="33" spans="10:20" x14ac:dyDescent="0.2">
      <c r="N33" s="6" t="s">
        <v>168</v>
      </c>
      <c r="O33" s="12">
        <f>O27</f>
        <v>0.72222222222222221</v>
      </c>
      <c r="P33" s="12">
        <f>P27</f>
        <v>0.22222222222222221</v>
      </c>
      <c r="Q33" s="12">
        <f>Q27</f>
        <v>0.16666666666666666</v>
      </c>
      <c r="R33" s="12">
        <f>R27</f>
        <v>0.72222222222222221</v>
      </c>
      <c r="S33" s="12">
        <f>S27</f>
        <v>0.1111111111111111</v>
      </c>
      <c r="T33" s="12">
        <f t="shared" ref="T33" si="15">T27</f>
        <v>5.5555555555555552E-2</v>
      </c>
    </row>
    <row r="34" spans="10:20" x14ac:dyDescent="0.2">
      <c r="N34" s="6" t="s">
        <v>169</v>
      </c>
      <c r="O34" s="12">
        <f>X27</f>
        <v>0.94444444444444442</v>
      </c>
      <c r="P34" s="12">
        <f>Y27</f>
        <v>0.44444444444444442</v>
      </c>
      <c r="Q34" s="12">
        <f>Z27</f>
        <v>0.1111111111111111</v>
      </c>
      <c r="R34" s="12">
        <f>AA27</f>
        <v>0.94444444444444442</v>
      </c>
      <c r="S34" s="12">
        <f>AB27</f>
        <v>0.44444444444444442</v>
      </c>
      <c r="T34" s="12">
        <f t="shared" ref="T34" si="16">AC27</f>
        <v>5.5555555555555552E-2</v>
      </c>
    </row>
    <row r="35" spans="10:20" x14ac:dyDescent="0.2">
      <c r="N35" s="6" t="s">
        <v>170</v>
      </c>
      <c r="O35" s="12">
        <f t="shared" ref="O35:T35" si="17">AG27</f>
        <v>0.94444444444444442</v>
      </c>
      <c r="P35" s="12">
        <f t="shared" si="17"/>
        <v>0</v>
      </c>
      <c r="Q35" s="12">
        <f t="shared" si="17"/>
        <v>0</v>
      </c>
      <c r="R35" s="12">
        <f t="shared" si="17"/>
        <v>0.88888888888888884</v>
      </c>
      <c r="S35" s="12">
        <f t="shared" si="17"/>
        <v>0</v>
      </c>
      <c r="T35" s="12">
        <f t="shared" si="17"/>
        <v>0</v>
      </c>
    </row>
    <row r="36" spans="10:20" x14ac:dyDescent="0.2">
      <c r="N36" s="6" t="s">
        <v>171</v>
      </c>
      <c r="O36" s="12">
        <f t="shared" ref="O36:T36" si="18">AM27</f>
        <v>0.61111111111111116</v>
      </c>
      <c r="P36" s="12">
        <f t="shared" si="18"/>
        <v>0.61111111111111116</v>
      </c>
      <c r="Q36" s="12">
        <f t="shared" si="18"/>
        <v>0.61111111111111116</v>
      </c>
      <c r="R36" s="12">
        <f t="shared" si="18"/>
        <v>0.61111111111111116</v>
      </c>
      <c r="S36" s="12">
        <f t="shared" si="18"/>
        <v>0.61111111111111116</v>
      </c>
      <c r="T36" s="12">
        <f t="shared" si="18"/>
        <v>0.61111111111111116</v>
      </c>
    </row>
    <row r="37" spans="10:20" x14ac:dyDescent="0.2">
      <c r="N37" s="6" t="s">
        <v>173</v>
      </c>
      <c r="O37" s="12">
        <f t="shared" ref="O37:T37" si="19">AS27</f>
        <v>0.61111111111111116</v>
      </c>
      <c r="P37" s="12">
        <f t="shared" si="19"/>
        <v>0.61111111111111116</v>
      </c>
      <c r="Q37" s="12">
        <f t="shared" si="19"/>
        <v>0.61111111111111116</v>
      </c>
      <c r="R37" s="12">
        <f t="shared" si="19"/>
        <v>0.55555555555555558</v>
      </c>
      <c r="S37" s="12">
        <f t="shared" si="19"/>
        <v>0.55555555555555558</v>
      </c>
      <c r="T37" s="12">
        <f t="shared" si="19"/>
        <v>0.55555555555555558</v>
      </c>
    </row>
    <row r="38" spans="10:20" x14ac:dyDescent="0.2">
      <c r="N38" s="6" t="s">
        <v>172</v>
      </c>
      <c r="O38" s="12">
        <f t="shared" ref="O38:T38" si="20">AY27</f>
        <v>0.16666666666666666</v>
      </c>
      <c r="P38" s="12">
        <f t="shared" si="20"/>
        <v>0.16666666666666666</v>
      </c>
      <c r="Q38" s="12">
        <f t="shared" si="20"/>
        <v>0.16666666666666666</v>
      </c>
      <c r="R38" s="12">
        <f t="shared" si="20"/>
        <v>0.16666666666666666</v>
      </c>
      <c r="S38" s="12">
        <f t="shared" si="20"/>
        <v>0.16666666666666666</v>
      </c>
      <c r="T38" s="12">
        <f t="shared" si="20"/>
        <v>0.16666666666666666</v>
      </c>
    </row>
    <row r="41" spans="10:20" x14ac:dyDescent="0.2">
      <c r="J41" t="s">
        <v>191</v>
      </c>
      <c r="O41" t="s">
        <v>181</v>
      </c>
      <c r="P41" t="s">
        <v>180</v>
      </c>
      <c r="Q41" t="s">
        <v>179</v>
      </c>
      <c r="R41" t="s">
        <v>188</v>
      </c>
      <c r="S41" t="s">
        <v>189</v>
      </c>
      <c r="T41" t="s">
        <v>190</v>
      </c>
    </row>
    <row r="42" spans="10:20" x14ac:dyDescent="0.2">
      <c r="N42" s="6" t="s">
        <v>168</v>
      </c>
      <c r="O42" s="12">
        <f>R33</f>
        <v>0.72222222222222221</v>
      </c>
      <c r="P42" s="12">
        <f>S33</f>
        <v>0.1111111111111111</v>
      </c>
      <c r="Q42" s="12">
        <f>T33</f>
        <v>5.5555555555555552E-2</v>
      </c>
      <c r="R42" s="12">
        <f>O33-O42</f>
        <v>0</v>
      </c>
      <c r="S42" s="12">
        <f t="shared" ref="S42:T42" si="21">P33-P42</f>
        <v>0.1111111111111111</v>
      </c>
      <c r="T42" s="12">
        <f t="shared" si="21"/>
        <v>0.1111111111111111</v>
      </c>
    </row>
    <row r="43" spans="10:20" x14ac:dyDescent="0.2">
      <c r="N43" s="6" t="s">
        <v>169</v>
      </c>
      <c r="O43" s="12">
        <f t="shared" ref="O43:Q43" si="22">R34</f>
        <v>0.94444444444444442</v>
      </c>
      <c r="P43" s="12">
        <f t="shared" si="22"/>
        <v>0.44444444444444442</v>
      </c>
      <c r="Q43" s="12">
        <f t="shared" si="22"/>
        <v>5.5555555555555552E-2</v>
      </c>
      <c r="R43" s="12">
        <f t="shared" ref="R43:R47" si="23">O34-O43</f>
        <v>0</v>
      </c>
      <c r="S43" s="12">
        <f t="shared" ref="S43:S47" si="24">P34-P43</f>
        <v>0</v>
      </c>
      <c r="T43" s="12">
        <f t="shared" ref="T43:T47" si="25">Q34-Q43</f>
        <v>5.5555555555555552E-2</v>
      </c>
    </row>
    <row r="44" spans="10:20" x14ac:dyDescent="0.2">
      <c r="N44" s="6" t="s">
        <v>170</v>
      </c>
      <c r="O44" s="12">
        <f t="shared" ref="O44:Q44" si="26">R35</f>
        <v>0.88888888888888884</v>
      </c>
      <c r="P44" s="12">
        <f t="shared" si="26"/>
        <v>0</v>
      </c>
      <c r="Q44" s="12">
        <f t="shared" si="26"/>
        <v>0</v>
      </c>
      <c r="R44" s="12">
        <f t="shared" si="23"/>
        <v>5.555555555555558E-2</v>
      </c>
      <c r="S44" s="12">
        <f t="shared" si="24"/>
        <v>0</v>
      </c>
      <c r="T44" s="12">
        <f t="shared" si="25"/>
        <v>0</v>
      </c>
    </row>
    <row r="45" spans="10:20" x14ac:dyDescent="0.2">
      <c r="N45" s="6" t="s">
        <v>171</v>
      </c>
      <c r="O45" s="12">
        <f t="shared" ref="O45:Q45" si="27">R36</f>
        <v>0.61111111111111116</v>
      </c>
      <c r="P45" s="12">
        <f t="shared" si="27"/>
        <v>0.61111111111111116</v>
      </c>
      <c r="Q45" s="12">
        <f t="shared" si="27"/>
        <v>0.61111111111111116</v>
      </c>
      <c r="R45" s="12">
        <f t="shared" si="23"/>
        <v>0</v>
      </c>
      <c r="S45" s="12">
        <f t="shared" si="24"/>
        <v>0</v>
      </c>
      <c r="T45" s="12">
        <f t="shared" si="25"/>
        <v>0</v>
      </c>
    </row>
    <row r="46" spans="10:20" x14ac:dyDescent="0.2">
      <c r="N46" s="6" t="s">
        <v>173</v>
      </c>
      <c r="O46" s="12">
        <f t="shared" ref="O46:Q46" si="28">R37</f>
        <v>0.55555555555555558</v>
      </c>
      <c r="P46" s="12">
        <f t="shared" si="28"/>
        <v>0.55555555555555558</v>
      </c>
      <c r="Q46" s="12">
        <f t="shared" si="28"/>
        <v>0.55555555555555558</v>
      </c>
      <c r="R46" s="12">
        <f t="shared" si="23"/>
        <v>5.555555555555558E-2</v>
      </c>
      <c r="S46" s="12">
        <f t="shared" si="24"/>
        <v>5.555555555555558E-2</v>
      </c>
      <c r="T46" s="12">
        <f t="shared" si="25"/>
        <v>5.555555555555558E-2</v>
      </c>
    </row>
    <row r="47" spans="10:20" x14ac:dyDescent="0.2">
      <c r="N47" s="6" t="s">
        <v>172</v>
      </c>
      <c r="O47" s="12">
        <f t="shared" ref="O47:Q47" si="29">R38</f>
        <v>0.16666666666666666</v>
      </c>
      <c r="P47" s="12">
        <f t="shared" si="29"/>
        <v>0.16666666666666666</v>
      </c>
      <c r="Q47" s="12">
        <f t="shared" si="29"/>
        <v>0.16666666666666666</v>
      </c>
      <c r="R47" s="12">
        <f t="shared" si="23"/>
        <v>0</v>
      </c>
      <c r="S47" s="12">
        <f t="shared" si="24"/>
        <v>0</v>
      </c>
      <c r="T47" s="12">
        <f t="shared" si="25"/>
        <v>0</v>
      </c>
    </row>
  </sheetData>
  <autoFilter ref="A3:J21" xr:uid="{A154A787-2F5D-7C47-9C25-6CFD1AC7A53F}"/>
  <mergeCells count="7">
    <mergeCell ref="AY2:BD2"/>
    <mergeCell ref="AM1:BD1"/>
    <mergeCell ref="L1:T1"/>
    <mergeCell ref="U1:AC1"/>
    <mergeCell ref="AD1:AL1"/>
    <mergeCell ref="AM2:AR2"/>
    <mergeCell ref="AS2:AX2"/>
  </mergeCells>
  <conditionalFormatting sqref="N4:N21 W4:Y21 AA4:AB21">
    <cfRule type="containsText" dxfId="5" priority="23" operator="containsText" text="xx">
      <formula>NOT(ISERROR(SEARCH("xx",N4)))</formula>
    </cfRule>
    <cfRule type="containsText" dxfId="4" priority="24" stopIfTrue="1" operator="containsText" text=" 0 hit block">
      <formula>NOT(ISERROR(SEARCH(" 0 hit block",N4)))</formula>
    </cfRule>
  </conditionalFormatting>
  <conditionalFormatting sqref="AF4:AL21">
    <cfRule type="containsText" dxfId="3" priority="1" operator="containsText" text="xx">
      <formula>NOT(ISERROR(SEARCH("xx",AF4)))</formula>
    </cfRule>
    <cfRule type="containsText" dxfId="2" priority="2" stopIfTrue="1" operator="containsText" text=" 0 hit block">
      <formula>NOT(ISERROR(SEARCH(" 0 hit block",AF4)))</formula>
    </cfRule>
  </conditionalFormatting>
  <conditionalFormatting sqref="AN4:AO5 AQ4:AR5 AT5:AU5 AW5:AX5 AZ5:BA5 BC5:BD5 AC6 AO6 AN7 O11:O21 R11:S21 AC21">
    <cfRule type="containsText" dxfId="1" priority="21" operator="containsText" text="xx">
      <formula>NOT(ISERROR(SEARCH("xx",O4)))</formula>
    </cfRule>
    <cfRule type="containsText" dxfId="0" priority="22" stopIfTrue="1" operator="containsText" text=" 0 hit block">
      <formula>NOT(ISERROR(SEARCH(" 0 hit block",O4)))</formula>
    </cfRule>
  </conditionalFormatting>
  <hyperlinks>
    <hyperlink ref="A4" r:id="rId1" tooltip="arrow-40653" display="https://github.com/sdevlab/BugOss/tree/master/artifacts/arrow-40653" xr:uid="{556B4215-2AE8-2E4C-8B12-480168BAA8CC}"/>
    <hyperlink ref="A5" r:id="rId2" tooltip="aspell-18462" display="https://github.com/sdevlab/BugOss/tree/master/artifacts/aspell-18462" xr:uid="{886662E6-CA83-4942-BA96-423DBC97F541}"/>
    <hyperlink ref="A6" r:id="rId3" tooltip="curl-8000" display="https://github.com/sdevlab/BugOss/tree/master/artifacts/curl-8000" xr:uid="{431EA1EF-8305-D64E-A287-4DC8A6569445}"/>
    <hyperlink ref="A7" r:id="rId4" tooltip="exiv2-50315" display="https://github.com/sdevlab/BugOss/tree/master/artifacts/exiv2-50315" xr:uid="{7DCB4C3A-0489-B049-B1E3-7B0ABA129084}"/>
    <hyperlink ref="A8" r:id="rId5" tooltip="file-30222" display="https://github.com/sdevlab/BugOss/tree/master/artifacts/file-30222" xr:uid="{EC4BAE27-B003-0F44-9BEC-7E0ECF057689}"/>
    <hyperlink ref="A9" r:id="rId6" tooltip="grok-28418" display="https://github.com/sdevlab/BugOss/tree/master/artifacts/grok-28418" xr:uid="{33CF919B-73DF-0B46-9457-0D4F38A978F7}"/>
    <hyperlink ref="A10" r:id="rId7" tooltip="harfbuzz-55779" display="https://github.com/sdevlab/BugOss/tree/master/artifacts/harfbuzz-55779" xr:uid="{2111FBFE-1D91-C74F-8D19-3342833565FE}"/>
    <hyperlink ref="A11" r:id="rId8" tooltip="leptonica-25212" display="https://github.com/sdevlab/BugOss/tree/master/artifacts/leptonica-25212" xr:uid="{A47983FA-B634-3243-9EAC-728782F3DF18}"/>
    <hyperlink ref="A12" r:id="rId9" tooltip="libarchive-44843" display="https://github.com/sdevlab/BugOss/tree/master/artifacts/libarchive-44843" xr:uid="{3D48740C-7DBC-0B48-A64C-78FD89EE52B9}"/>
    <hyperlink ref="A13" r:id="rId10" tooltip="libhtp-17198" display="https://github.com/sdevlab/BugOss/tree/master/artifacts/libhtp-17198" xr:uid="{03864B36-FA50-BF44-B015-F98D6279A07A}"/>
    <hyperlink ref="A14" r:id="rId11" tooltip="libxml2-17737" display="https://github.com/sdevlab/BugOss/tree/master/artifacts/libxml2-17737" xr:uid="{74979F21-9711-984F-B721-3608B1F67831}"/>
    <hyperlink ref="A15" r:id="rId12" tooltip="ndpi-49057" display="https://github.com/sdevlab/BugOss/tree/master/artifacts/ndpi-49057" xr:uid="{8361CDA7-442A-B54D-A2E4-6C49425C52C0}"/>
    <hyperlink ref="A16" r:id="rId13" tooltip="openh264-26220" display="https://github.com/sdevlab/BugOss/tree/master/artifacts/openh264-26220" xr:uid="{2A435A84-268B-C742-9D66-B83DA0C1CDCB}"/>
    <hyperlink ref="A17" r:id="rId14" tooltip="openssl-17715" display="https://github.com/sdevlab/BugOss/tree/master/artifacts/openssl-17715" xr:uid="{429EE088-D06E-574A-BBB7-1C4690AA0253}"/>
    <hyperlink ref="A18" r:id="rId15" tooltip="pcapplusplus-23592" display="https://github.com/sdevlab/BugOss/tree/master/artifacts/pcapplusplus-23592" xr:uid="{2CFDF5EC-4912-C541-B380-38A37658DEA1}"/>
    <hyperlink ref="A19" r:id="rId16" tooltip="readstat-13262" display="https://github.com/sdevlab/BugOss/tree/master/artifacts/readstat-13262" xr:uid="{E52C62F7-8F44-1E46-BAEB-5522A22CF6C3}"/>
    <hyperlink ref="C14" r:id="rId17" display="https://gitlab.gnome.org/GNOME/libxml2/-/commit/1fbcf4098ba2aefe241de8d7ceb229b995d8daec" xr:uid="{67CA2775-3C5A-AA45-BDDD-DD13ECCEA994}"/>
    <hyperlink ref="E14" r:id="rId18" display="https://gitlab.gnome.org/GNOME/libxml2/-/commit/664f881008f40356c0502c8cc154e17e3c80e353" xr:uid="{955B1B02-FEC0-5E4E-80E3-5D84D890F785}"/>
    <hyperlink ref="D14" r:id="rId19" display="https://gitlab.gnome.org/GNOME/libxml2/-/commit/99a864a1f7a9cb59865f803770d7d62fb47cad69" xr:uid="{A08346E6-4522-4842-AA06-6424139D883D}"/>
    <hyperlink ref="C9" r:id="rId20" display="https://github.com/GrokImageCompression/grok/commit/93e6af95ec46bbba5e112a1fbdbdb6a1294d61d8" xr:uid="{BFA37C11-C84D-E749-BDAB-32BF4EEC384A}"/>
    <hyperlink ref="E9" r:id="rId21" display="https://github.com/GrokImageCompression/grok/commit/1cb27625e7237a1a03a1c9ad67bc1f006473aa35" xr:uid="{62D50E48-B61B-3B45-B97A-02A7E8237E84}"/>
    <hyperlink ref="C4" r:id="rId22" display="https://github.com/apache/arrow/commit/3c5b62c116733e434508a8673c2d466776b27eed" xr:uid="{DF478E38-27D9-6F4A-A474-99A9A5CCD718}"/>
    <hyperlink ref="E4" r:id="rId23" display="https://github.com/apache/arrow/commit/fdc6a79b1028c8dae086ccba1cd6ce9f66f90fcb" xr:uid="{D30E8788-DF1D-3E42-BFBC-B1A56502A423}"/>
    <hyperlink ref="D4" r:id="rId24" display="https://github.com/apache/arrow/commit/bf67ec74635db2183619601f025e4724bd5a6b75" xr:uid="{CDA1578B-30D8-DE4F-8DCE-A4BDBD7DAEB6}"/>
    <hyperlink ref="D5" r:id="rId25" display="https://github.com/GNUAspell/aspell/commit/280d4069f189369ecc49c68b79b6d6cb7f2d6b93" xr:uid="{A2F840C8-DB45-C64F-965A-10DC8275F19D}"/>
    <hyperlink ref="C5" r:id="rId26" display="https://github.com/GNUAspell/aspell/commit/e0646f9b063b23754951f1254f1ecb7af8ca36f3" xr:uid="{F3DFD5A7-BC4A-E14E-BAB9-8B1A09D3A5D7}"/>
    <hyperlink ref="E5" r:id="rId27" display="https://github.com/GNUAspell/aspell/commit/0718b375425aad8e54e1150313b862e4c6fd324a" xr:uid="{B89487D7-0111-EC4E-8BD2-5F527CCFC390}"/>
    <hyperlink ref="D6" r:id="rId28" display="https://github.com/curl/curl/commit/ba67f7d65a42e63eccfe0bcc87f82682d6e4cc9e" xr:uid="{6A9DF7D3-6217-0E4D-8E59-3D11C96782ED}"/>
    <hyperlink ref="C6" r:id="rId29" display="https://github.com/curl/curl/commit/dd7521bcc1b7a6fcb53c31f9bd1192fcc884bd56" xr:uid="{1870C1D6-D201-E842-9DFC-336EF3C69451}"/>
    <hyperlink ref="E6" r:id="rId30" display="https://github.com/curl/curl/commit/3c630f9b0af097663a64e5c875c580aa9808a92b" xr:uid="{F8CF39F3-32D7-094E-9CA3-9699F918C64B}"/>
    <hyperlink ref="D7" r:id="rId31" display="https://github.com/Exiv2/exiv2/commit/88fcd234bbb5e3fca03171b81c8d0e84b2619b26" xr:uid="{435F3ABC-4AA9-2C47-B9E9-C2086520CC98}"/>
    <hyperlink ref="C7" r:id="rId32" display="https://github.com/Exiv2/exiv2/commit/10a62b23500954abf7eb2cc3e577bebb21bb0b72" xr:uid="{B1541952-74DF-C94A-9639-2045C9B5876B}"/>
    <hyperlink ref="E7" r:id="rId33" display="https://github.com/Exiv2/exiv2/commit/7a92e1bd0f8a1435eed7743e3aeadcb73f63182d" xr:uid="{084432B6-FD83-A048-87EA-4ECB8E39172A}"/>
    <hyperlink ref="D8" r:id="rId34" display="https://github.com/file/file/commit/6de3683de955277c4be4be350ec683b3203d3f31" xr:uid="{C62B179B-2E84-C941-9155-7B54C6C86B6B}"/>
    <hyperlink ref="C8" r:id="rId35" display="https://github.com/file/file/commit/6de3683de955277c4be4be350ec683b3203d3f31" xr:uid="{BA83FE63-2E52-A541-A9AA-DB84BADABCED}"/>
    <hyperlink ref="E8" r:id="rId36" display="https://github.com/file/file/commit/9c74f7b258cfe17b8c7f6eaaf6bbbf4ed14017d0" xr:uid="{CE4D8A1C-DFF1-C84D-B145-68E4F3E5CF44}"/>
    <hyperlink ref="D9" r:id="rId37" display="https://github.com/GrokImageCompression/grok/commit/2b2f0e892c47c7b65b5c55ebf92ad77ff1dc14f3" xr:uid="{AB4B224D-AC4A-F448-963A-83B59822FD80}"/>
    <hyperlink ref="D10" r:id="rId38" display="https://github.com/harfbuzz/harfbuzz/commit/3fd9311649e2e0e5e2bfbe27c082e3f2dbc797f5" xr:uid="{17C38D09-7A31-5342-8710-5DE20687F703}"/>
    <hyperlink ref="C10" r:id="rId39" display="https://github.com/harfbuzz/harfbuzz/commit/8708b9e081192786c027bb7f5f23d76dbe5c19e8" xr:uid="{20953D3E-DBE2-B04A-BA61-D3CF4F1BBBDB}"/>
    <hyperlink ref="E10" r:id="rId40" display="https://github.com/harfbuzz/harfbuzz/commit/64fa5cd482d0be2e215998aa1c2a05b978133e7c" xr:uid="{562CBE5E-DC53-B943-8108-FB453F192EE9}"/>
    <hyperlink ref="C11" r:id="rId41" display="https://github.com/DanBloomberg/leptonica/commit/8fc49016cf44ecbbab28979442e2781bd064584e" xr:uid="{F348A521-EB3F-B548-A6ED-FD09ECEE0A28}"/>
    <hyperlink ref="D11" r:id="rId42" display="https://github.com/DanBloomberg/leptonica/commit/dfde88c09a37ccced3c2e08b2db971145f4ac279" xr:uid="{25F7B989-06E1-3342-8A90-60EAA7D2040A}"/>
    <hyperlink ref="E11" r:id="rId43" display="https://github.com/DanBloomberg/leptonica/commit/f301010cd4495a11d96504642737a85c386e6618" xr:uid="{1C933670-9776-E648-B622-C62500FF6F96}"/>
    <hyperlink ref="D12" r:id="rId44" display="https://github.com/libarchive/libarchive/commit/72ce1ff7c6857a7334baa05884e69b9264a2199c" xr:uid="{80155AC1-7DA4-3C4E-BADC-5326B471F625}"/>
    <hyperlink ref="C12" r:id="rId45" display="https://github.com/libarchive/libarchive/commit/52efa50c69653029687bfc545703b7340b7a51e2" xr:uid="{FAF02AA8-6C89-B645-ACE9-79B2058981ED}"/>
    <hyperlink ref="E12" r:id="rId46" display="https://github.com/libarchive/libarchive/commit/1271f775dc917798ad7d03c3b3bd66bacad03603" xr:uid="{227D4901-E3E3-9A4D-A6A0-15421C9C887D}"/>
    <hyperlink ref="D13" r:id="rId47" display="https://github.com/OISF/libhtp/commit/75cbbbd405695e97567931655fd5a441f86e5836" xr:uid="{B39FD1D7-3751-4543-922F-6B7F4332A429}"/>
    <hyperlink ref="C13" r:id="rId48" display="https://github.com/OISF/libhtp/commit/3c6555078ec30e0baa4855ec69d55a22fc8d3589" xr:uid="{AC8587B5-2084-6F47-B8FC-A9F6A9400493}"/>
    <hyperlink ref="E13" r:id="rId49" display="https://github.com/OISF/libhtp/commit/fe16fa764f7cea57be5a288ee85b27dffc460f6f" xr:uid="{B3427861-9C48-8B45-994F-E2DF91867104}"/>
    <hyperlink ref="D15" r:id="rId50" display="https://github.com/ntop/nDPI/commit/9c235796af60977ba316c612d4a02014896127f8" xr:uid="{CC802618-A39B-C847-B0AC-A53A2B3F26F1}"/>
    <hyperlink ref="C15" r:id="rId51" display="https://github.com/ntop/nDPI/commit/2edfaeba4ada90ca8771a44132d2b9cc85e45570" xr:uid="{3CA2D433-4C92-BC48-B200-CA7F71CBE965}"/>
    <hyperlink ref="E15" r:id="rId52" display="https://github.com/ntop/nDPI/commit/407155755da29734e9b8a8e7a6960c568b1d3188" xr:uid="{ED33675E-8428-7B4B-B5C7-33611EBAA45B}"/>
    <hyperlink ref="D16" r:id="rId53" display="https://github.com/cisco/openh264/commit/83a0eae9bbbda5bfe802438109a025a3d7caee10" xr:uid="{206C0D5F-2F70-B643-BE32-ABFDB1EFA764}"/>
    <hyperlink ref="C16" r:id="rId54" display="https://github.com/cisco/openh264/commit/effb3931c7c67f34b167fe6e0a93253bf075f78c" xr:uid="{E70D8C38-F77A-4D4C-8DFF-850B31413B3B}"/>
    <hyperlink ref="E16" r:id="rId55" display="https://github.com/cisco/openh264/commit/4c76c67e9b790fd40650c4e8a2a059603e8ce195" xr:uid="{4D2CC3AD-C9F2-6E42-83D2-E2422473003D}"/>
    <hyperlink ref="D17" r:id="rId56" display="https://github.com/openssl/openssl/commit/5a2a2f66c5e79895400c6e895ce7f8d48db96bb8" xr:uid="{61C67E21-A458-F34E-8EB9-1354FB0F6C4C}"/>
    <hyperlink ref="C17" r:id="rId57" display="https://github.com/openssl/openssl/commit/4baee2d72e0c82bfd6de085df23a1bdc6af887ba" xr:uid="{D0123941-349C-FE47-9C30-439C3A3387C2}"/>
    <hyperlink ref="E17" r:id="rId58" display="https://github.com/openssl/openssl/commit/aec9667bd19a8ca9bdd519db3a231a95b9e92674" xr:uid="{C6379512-E530-1148-9643-D01A9EE45C81}"/>
    <hyperlink ref="D18" r:id="rId59" display="https://github.com/seladb/PcapPlusPlus/commit/14a418ed4f9b72a832877dc8330e01259f617bf3" xr:uid="{AE51D8BD-6254-4A4A-A33A-EF5D91B66B17}"/>
    <hyperlink ref="C18" r:id="rId60" display="https://github.com/seladb/PcapPlusPlus/commit/50aab202d24331ef35b9eff68d96ef9f97baf6a1" xr:uid="{2BA14713-4626-9940-951C-E75CB78CDD5C}"/>
    <hyperlink ref="E18" r:id="rId61" display="https://github.com/seladb/PcapPlusPlus/commit/31406a092868f87d714910e349ab0b4dc683722b" xr:uid="{4030FFD1-E0D7-8246-854E-63B24C69934D}"/>
    <hyperlink ref="D19" r:id="rId62" display="https://github.com/WizardMac/ReadStat/commit/bd7b41057a5670b90ea77bf4ea5b5d9ae5b20129" xr:uid="{060CAB7D-B5D8-5A44-8E6A-AAEA8E5F9F05}"/>
    <hyperlink ref="C19" r:id="rId63" display="https://github.com/WizardMac/ReadStat/commit/1de4f389a8ffb07775cb1d99e33cbfa7e96bccf2" xr:uid="{868E93CA-EAB7-8144-BEB6-534733E5C92C}"/>
    <hyperlink ref="E19" r:id="rId64" display="https://github.com/WizardMac/ReadStat/commit/f57262da9966803ee97a5cecfe24512d38c3625e" xr:uid="{A05DF000-01BA-4B46-8D81-D33DD1F6C055}"/>
    <hyperlink ref="C20" r:id="rId65" display="https://github.com/sctplab/usrsctp/commit/05bea46702687f26a81c41c3fb1fd1dd3d9c0aa1" xr:uid="{4DA92D03-D9CB-6644-AEAB-2F54796F6CCA}"/>
    <hyperlink ref="D20" r:id="rId66" display="https://github.com/sctplab/usrsctp/commit/1ab1d69ce8cbf20a4d0d1e41de6b5c11cd24da71" xr:uid="{8D5CDEC6-B083-FA4A-86DF-1438D53CE646}"/>
    <hyperlink ref="E20" r:id="rId67" display="https://github.com/weinrank/usrsctp/commit/b7e98787c4698521b7adc771ee919a74e83f28ed" xr:uid="{D502AE9D-F544-A24F-80A9-CD844512E149}"/>
    <hyperlink ref="D21" r:id="rId68" display="https://github.com/facebook/zstd/commit/da2748a855821aa7edc9080997119e44c96d657c" xr:uid="{BDDBB939-3BC4-ED42-948E-5534B72C7937}"/>
    <hyperlink ref="C21" r:id="rId69" display="https://github.com/facebook/zstd/commit/0ed07f6dfe942627e7724e5b910e23ec3cd8ece8" xr:uid="{64C9E4C9-7905-1C4E-9FF0-0B927939712C}"/>
    <hyperlink ref="E21" r:id="rId70" display="https://github.com/facebook/zstd/commit/5717bd39ee1bd5d2855023652336deeb722a57d5" xr:uid="{BFF204A1-AA0C-7B4C-B8BD-FE19B5432F84}"/>
    <hyperlink ref="A20" r:id="rId71" tooltip="usrsctp-18080" display="https://github.com/sdevlab/BugOss/tree/master/artifacts/usrsctp-18080" xr:uid="{111B4B30-01A4-A647-B182-61646254F9A3}"/>
    <hyperlink ref="A21" r:id="rId72" tooltip="zstd-21970" display="https://github.com/sdevlab/BugOss/tree/master/artifacts/zstd-21970" xr:uid="{69E62ED6-8E56-6F4E-9397-0D40DBF15BC9}"/>
  </hyperlinks>
  <pageMargins left="0.7" right="0.7" top="0.75" bottom="0.75" header="0.3" footer="0.3"/>
  <pageSetup orientation="portrait" horizontalDpi="0" verticalDpi="0"/>
  <drawing r:id="rId73"/>
  <legacyDrawing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bugoss-sast - vm1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2024-11-12T05:21:43Z</dcterms:created>
  <dcterms:modified xsi:type="dcterms:W3CDTF">2025-05-30T09:44:52Z</dcterms:modified>
</cp:coreProperties>
</file>