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filterPrivacy="1" codeName="ThisWorkbook" defaultThemeVersion="202300"/>
  <xr:revisionPtr revIDLastSave="0" documentId="13_ncr:1_{E2A7CFE6-5CE9-B545-8A4D-30C89D84A716}" xr6:coauthVersionLast="47" xr6:coauthVersionMax="47" xr10:uidLastSave="{00000000-0000-0000-0000-000000000000}"/>
  <bookViews>
    <workbookView xWindow="0" yWindow="700" windowWidth="27040" windowHeight="16860" xr2:uid="{E429C8E0-C79E-844D-A1C5-D0754940A531}"/>
  </bookViews>
  <sheets>
    <sheet name="evaluate_sast" sheetId="3" r:id="rId1"/>
  </sheets>
  <definedNames>
    <definedName name="_xlnm._FilterDatabase" localSheetId="0" hidden="1">evaluate_sast!$A$2:$AU$58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9" i="3" l="1"/>
  <c r="AZ19" i="3"/>
  <c r="BA19" i="3"/>
  <c r="BM58" i="3"/>
  <c r="BL58" i="3"/>
  <c r="BK58" i="3"/>
  <c r="BM57" i="3"/>
  <c r="BL57" i="3"/>
  <c r="BK57" i="3"/>
  <c r="BM56" i="3"/>
  <c r="BL56" i="3"/>
  <c r="BK56" i="3"/>
  <c r="BM55" i="3"/>
  <c r="BL55" i="3"/>
  <c r="BK55" i="3"/>
  <c r="BM54" i="3"/>
  <c r="BL54" i="3"/>
  <c r="BK54" i="3"/>
  <c r="BM53" i="3"/>
  <c r="BL53" i="3"/>
  <c r="BK53" i="3"/>
  <c r="BM52" i="3"/>
  <c r="BL52" i="3"/>
  <c r="BK52" i="3"/>
  <c r="BM51" i="3"/>
  <c r="BL51" i="3"/>
  <c r="BK51" i="3"/>
  <c r="BM50" i="3"/>
  <c r="BL50" i="3"/>
  <c r="BK50" i="3"/>
  <c r="BM49" i="3"/>
  <c r="BL49" i="3"/>
  <c r="BK49" i="3"/>
  <c r="BM48" i="3"/>
  <c r="BL48" i="3"/>
  <c r="BK48" i="3"/>
  <c r="BM47" i="3"/>
  <c r="BL47" i="3"/>
  <c r="BK47" i="3"/>
  <c r="BM46" i="3"/>
  <c r="BL46" i="3"/>
  <c r="BK46" i="3"/>
  <c r="BM45" i="3"/>
  <c r="BL45" i="3"/>
  <c r="BK45" i="3"/>
  <c r="BM44" i="3"/>
  <c r="BL44" i="3"/>
  <c r="BK44" i="3"/>
  <c r="BM43" i="3"/>
  <c r="BL43" i="3"/>
  <c r="BK43" i="3"/>
  <c r="BM42" i="3"/>
  <c r="BL42" i="3"/>
  <c r="BK42" i="3"/>
  <c r="BM41" i="3"/>
  <c r="BL41" i="3"/>
  <c r="BK41" i="3"/>
  <c r="BM40" i="3"/>
  <c r="BL40" i="3"/>
  <c r="BK40" i="3"/>
  <c r="BM39" i="3"/>
  <c r="BL39" i="3"/>
  <c r="BK39" i="3"/>
  <c r="BM38" i="3"/>
  <c r="BL38" i="3"/>
  <c r="BK38" i="3"/>
  <c r="BM37" i="3"/>
  <c r="BL37" i="3"/>
  <c r="BK37" i="3"/>
  <c r="BM36" i="3"/>
  <c r="BL36" i="3"/>
  <c r="BK36" i="3"/>
  <c r="BM35" i="3"/>
  <c r="BL35" i="3"/>
  <c r="BK35" i="3"/>
  <c r="BM34" i="3"/>
  <c r="BL34" i="3"/>
  <c r="BK34" i="3"/>
  <c r="BM33" i="3"/>
  <c r="BL33" i="3"/>
  <c r="BK33" i="3"/>
  <c r="BM32" i="3"/>
  <c r="BL32" i="3"/>
  <c r="BK32" i="3"/>
  <c r="BM31" i="3"/>
  <c r="BL31" i="3"/>
  <c r="BK31" i="3"/>
  <c r="BM30" i="3"/>
  <c r="BL30" i="3"/>
  <c r="BK30" i="3"/>
  <c r="BM29" i="3"/>
  <c r="BL29" i="3"/>
  <c r="BK29" i="3"/>
  <c r="BM28" i="3"/>
  <c r="BL28" i="3"/>
  <c r="BK28" i="3"/>
  <c r="BM27" i="3"/>
  <c r="BL27" i="3"/>
  <c r="BK27" i="3"/>
  <c r="BM26" i="3"/>
  <c r="BL26" i="3"/>
  <c r="BK26" i="3"/>
  <c r="BM25" i="3"/>
  <c r="BL25" i="3"/>
  <c r="BK25" i="3"/>
  <c r="BM24" i="3"/>
  <c r="BL24" i="3"/>
  <c r="BK24" i="3"/>
  <c r="BM23" i="3"/>
  <c r="BL23" i="3"/>
  <c r="BK23" i="3"/>
  <c r="BM22" i="3"/>
  <c r="BL22" i="3"/>
  <c r="BK22" i="3"/>
  <c r="BM21" i="3"/>
  <c r="BL21" i="3"/>
  <c r="BK21" i="3"/>
  <c r="BM20" i="3"/>
  <c r="BL20" i="3"/>
  <c r="BK20" i="3"/>
  <c r="BM19" i="3"/>
  <c r="BL19" i="3"/>
  <c r="BK19" i="3"/>
  <c r="BM18" i="3"/>
  <c r="BL18" i="3"/>
  <c r="BK18" i="3"/>
  <c r="BM17" i="3"/>
  <c r="BL17" i="3"/>
  <c r="BK17" i="3"/>
  <c r="BM16" i="3"/>
  <c r="BL16" i="3"/>
  <c r="BK16" i="3"/>
  <c r="BM15" i="3"/>
  <c r="BL15" i="3"/>
  <c r="BK15" i="3"/>
  <c r="BM14" i="3"/>
  <c r="BL14" i="3"/>
  <c r="BK14" i="3"/>
  <c r="BM13" i="3"/>
  <c r="BL13" i="3"/>
  <c r="BK13" i="3"/>
  <c r="BM12" i="3"/>
  <c r="BL12" i="3"/>
  <c r="BK12" i="3"/>
  <c r="BM11" i="3"/>
  <c r="BL11" i="3"/>
  <c r="BK11" i="3"/>
  <c r="BM10" i="3"/>
  <c r="BL10" i="3"/>
  <c r="BK10" i="3"/>
  <c r="BM9" i="3"/>
  <c r="BL9" i="3"/>
  <c r="BK9" i="3"/>
  <c r="BM8" i="3"/>
  <c r="BL8" i="3"/>
  <c r="BK8" i="3"/>
  <c r="BM7" i="3"/>
  <c r="BL7" i="3"/>
  <c r="BK7" i="3"/>
  <c r="BM6" i="3"/>
  <c r="BL6" i="3"/>
  <c r="BK6" i="3"/>
  <c r="BM5" i="3"/>
  <c r="BL5" i="3"/>
  <c r="BK5" i="3"/>
  <c r="BM4" i="3"/>
  <c r="BL4" i="3"/>
  <c r="BK4" i="3"/>
  <c r="BL3" i="3"/>
  <c r="BK3" i="3"/>
  <c r="BG58" i="3"/>
  <c r="BF58" i="3"/>
  <c r="BE58" i="3"/>
  <c r="BG57" i="3"/>
  <c r="BF57" i="3"/>
  <c r="BE57" i="3"/>
  <c r="BG56" i="3"/>
  <c r="BF56" i="3"/>
  <c r="BE56" i="3"/>
  <c r="BG55" i="3"/>
  <c r="BF55" i="3"/>
  <c r="BE55" i="3"/>
  <c r="BG54" i="3"/>
  <c r="BF54" i="3"/>
  <c r="BE54" i="3"/>
  <c r="BG53" i="3"/>
  <c r="BF53" i="3"/>
  <c r="BE53" i="3"/>
  <c r="BG52" i="3"/>
  <c r="BF52" i="3"/>
  <c r="BE52" i="3"/>
  <c r="BG51" i="3"/>
  <c r="BF51" i="3"/>
  <c r="BE51" i="3"/>
  <c r="BG50" i="3"/>
  <c r="BF50" i="3"/>
  <c r="BE50" i="3"/>
  <c r="BG49" i="3"/>
  <c r="BF49" i="3"/>
  <c r="BE49" i="3"/>
  <c r="BG48" i="3"/>
  <c r="BF48" i="3"/>
  <c r="BE48" i="3"/>
  <c r="BG47" i="3"/>
  <c r="BF47" i="3"/>
  <c r="BE47" i="3"/>
  <c r="BG46" i="3"/>
  <c r="BF46" i="3"/>
  <c r="BE46" i="3"/>
  <c r="BG45" i="3"/>
  <c r="BF45" i="3"/>
  <c r="BE45" i="3"/>
  <c r="BG44" i="3"/>
  <c r="BF44" i="3"/>
  <c r="BE44" i="3"/>
  <c r="BG43" i="3"/>
  <c r="BF43" i="3"/>
  <c r="BE43" i="3"/>
  <c r="BG42" i="3"/>
  <c r="BF42" i="3"/>
  <c r="BE42" i="3"/>
  <c r="BG41" i="3"/>
  <c r="BF41" i="3"/>
  <c r="BE41" i="3"/>
  <c r="BG40" i="3"/>
  <c r="BF40" i="3"/>
  <c r="BE40" i="3"/>
  <c r="BG39" i="3"/>
  <c r="BF39" i="3"/>
  <c r="BE39" i="3"/>
  <c r="BG38" i="3"/>
  <c r="BF38" i="3"/>
  <c r="BE38" i="3"/>
  <c r="BG37" i="3"/>
  <c r="BF37" i="3"/>
  <c r="BE37" i="3"/>
  <c r="BG36" i="3"/>
  <c r="BF36" i="3"/>
  <c r="BE36" i="3"/>
  <c r="BG35" i="3"/>
  <c r="BF35" i="3"/>
  <c r="BE35" i="3"/>
  <c r="BG34" i="3"/>
  <c r="BF34" i="3"/>
  <c r="BE34" i="3"/>
  <c r="BG33" i="3"/>
  <c r="BF33" i="3"/>
  <c r="BE33" i="3"/>
  <c r="BG32" i="3"/>
  <c r="BF32" i="3"/>
  <c r="BE32" i="3"/>
  <c r="BG31" i="3"/>
  <c r="BF31" i="3"/>
  <c r="BE31" i="3"/>
  <c r="BG30" i="3"/>
  <c r="BF30" i="3"/>
  <c r="BE30" i="3"/>
  <c r="BG29" i="3"/>
  <c r="BF29" i="3"/>
  <c r="BE29" i="3"/>
  <c r="BG28" i="3"/>
  <c r="BF28" i="3"/>
  <c r="BE28" i="3"/>
  <c r="BG27" i="3"/>
  <c r="BF27" i="3"/>
  <c r="BE27" i="3"/>
  <c r="BG26" i="3"/>
  <c r="BF26" i="3"/>
  <c r="BE26" i="3"/>
  <c r="BG25" i="3"/>
  <c r="BF25" i="3"/>
  <c r="BE25" i="3"/>
  <c r="BG24" i="3"/>
  <c r="BF24" i="3"/>
  <c r="BE24" i="3"/>
  <c r="BG23" i="3"/>
  <c r="BF23" i="3"/>
  <c r="BE23" i="3"/>
  <c r="BG22" i="3"/>
  <c r="BF22" i="3"/>
  <c r="BE22" i="3"/>
  <c r="BG21" i="3"/>
  <c r="BF21" i="3"/>
  <c r="BE21" i="3"/>
  <c r="BG20" i="3"/>
  <c r="BF20" i="3"/>
  <c r="BE20" i="3"/>
  <c r="BG19" i="3"/>
  <c r="BF19" i="3"/>
  <c r="BE19" i="3"/>
  <c r="BG18" i="3"/>
  <c r="BF18" i="3"/>
  <c r="BE18" i="3"/>
  <c r="BG17" i="3"/>
  <c r="BF17" i="3"/>
  <c r="BE17" i="3"/>
  <c r="BG16" i="3"/>
  <c r="BF16" i="3"/>
  <c r="BE16" i="3"/>
  <c r="BG15" i="3"/>
  <c r="BF15" i="3"/>
  <c r="BE15" i="3"/>
  <c r="BG14" i="3"/>
  <c r="BF14" i="3"/>
  <c r="BE14" i="3"/>
  <c r="BG13" i="3"/>
  <c r="BF13" i="3"/>
  <c r="BE13" i="3"/>
  <c r="BG12" i="3"/>
  <c r="BF12" i="3"/>
  <c r="BE12" i="3"/>
  <c r="BG11" i="3"/>
  <c r="BF11" i="3"/>
  <c r="BE11" i="3"/>
  <c r="BG10" i="3"/>
  <c r="BF10" i="3"/>
  <c r="BE10" i="3"/>
  <c r="BG9" i="3"/>
  <c r="BF9" i="3"/>
  <c r="BE9" i="3"/>
  <c r="BG8" i="3"/>
  <c r="BF8" i="3"/>
  <c r="BE8" i="3"/>
  <c r="BG7" i="3"/>
  <c r="BF7" i="3"/>
  <c r="BE7" i="3"/>
  <c r="BG6" i="3"/>
  <c r="BF6" i="3"/>
  <c r="BE6" i="3"/>
  <c r="BG5" i="3"/>
  <c r="BF5" i="3"/>
  <c r="BE5" i="3"/>
  <c r="BG4" i="3"/>
  <c r="BF4" i="3"/>
  <c r="BE4" i="3"/>
  <c r="BF3" i="3"/>
  <c r="BE3" i="3"/>
  <c r="BA58" i="3"/>
  <c r="AZ58" i="3"/>
  <c r="AY58" i="3"/>
  <c r="BA57" i="3"/>
  <c r="AZ57" i="3"/>
  <c r="AY57" i="3"/>
  <c r="BA56" i="3"/>
  <c r="AZ56" i="3"/>
  <c r="AY56" i="3"/>
  <c r="BA55" i="3"/>
  <c r="AZ55" i="3"/>
  <c r="AY55" i="3"/>
  <c r="BA54" i="3"/>
  <c r="AZ54" i="3"/>
  <c r="AY54" i="3"/>
  <c r="BA53" i="3"/>
  <c r="AZ53" i="3"/>
  <c r="AY53" i="3"/>
  <c r="BA52" i="3"/>
  <c r="AZ52" i="3"/>
  <c r="AY52" i="3"/>
  <c r="BA51" i="3"/>
  <c r="AZ51" i="3"/>
  <c r="AY51" i="3"/>
  <c r="BA50" i="3"/>
  <c r="AZ50" i="3"/>
  <c r="AY50" i="3"/>
  <c r="BA49" i="3"/>
  <c r="AZ49" i="3"/>
  <c r="AY49" i="3"/>
  <c r="BA48" i="3"/>
  <c r="AZ48" i="3"/>
  <c r="AY48" i="3"/>
  <c r="BA47" i="3"/>
  <c r="AZ47" i="3"/>
  <c r="AY47" i="3"/>
  <c r="BA46" i="3"/>
  <c r="AZ46" i="3"/>
  <c r="AY46" i="3"/>
  <c r="BA45" i="3"/>
  <c r="AZ45" i="3"/>
  <c r="AY45" i="3"/>
  <c r="BA44" i="3"/>
  <c r="AZ44" i="3"/>
  <c r="AY44" i="3"/>
  <c r="BA43" i="3"/>
  <c r="AZ43" i="3"/>
  <c r="AY43" i="3"/>
  <c r="BA42" i="3"/>
  <c r="AZ42" i="3"/>
  <c r="AY42" i="3"/>
  <c r="BA41" i="3"/>
  <c r="AZ41" i="3"/>
  <c r="AY41" i="3"/>
  <c r="BA40" i="3"/>
  <c r="AZ40" i="3"/>
  <c r="AY40" i="3"/>
  <c r="BA39" i="3"/>
  <c r="AZ39" i="3"/>
  <c r="AY39" i="3"/>
  <c r="BA38" i="3"/>
  <c r="AZ38" i="3"/>
  <c r="AY38" i="3"/>
  <c r="BA37" i="3"/>
  <c r="AZ37" i="3"/>
  <c r="AY37" i="3"/>
  <c r="BA36" i="3"/>
  <c r="AZ36" i="3"/>
  <c r="AY36" i="3"/>
  <c r="BA35" i="3"/>
  <c r="AZ35" i="3"/>
  <c r="AY35" i="3"/>
  <c r="BA34" i="3"/>
  <c r="AZ34" i="3"/>
  <c r="AY34" i="3"/>
  <c r="BA33" i="3"/>
  <c r="AZ33" i="3"/>
  <c r="AY33" i="3"/>
  <c r="BA32" i="3"/>
  <c r="AZ32" i="3"/>
  <c r="AY32" i="3"/>
  <c r="BA31" i="3"/>
  <c r="AZ31" i="3"/>
  <c r="AY31" i="3"/>
  <c r="BA30" i="3"/>
  <c r="AZ30" i="3"/>
  <c r="AY30" i="3"/>
  <c r="BA29" i="3"/>
  <c r="AZ29" i="3"/>
  <c r="AY29" i="3"/>
  <c r="BA28" i="3"/>
  <c r="AZ28" i="3"/>
  <c r="AY28" i="3"/>
  <c r="BA27" i="3"/>
  <c r="AZ27" i="3"/>
  <c r="AY27" i="3"/>
  <c r="BA26" i="3"/>
  <c r="AZ26" i="3"/>
  <c r="AY26" i="3"/>
  <c r="BA25" i="3"/>
  <c r="AZ25" i="3"/>
  <c r="AY25" i="3"/>
  <c r="BA24" i="3"/>
  <c r="AZ24" i="3"/>
  <c r="AY24" i="3"/>
  <c r="BA23" i="3"/>
  <c r="AZ23" i="3"/>
  <c r="AY23" i="3"/>
  <c r="BA22" i="3"/>
  <c r="AZ22" i="3"/>
  <c r="AY22" i="3"/>
  <c r="BA21" i="3"/>
  <c r="AZ21" i="3"/>
  <c r="AY21" i="3"/>
  <c r="BA20" i="3"/>
  <c r="AZ20" i="3"/>
  <c r="AY20" i="3"/>
  <c r="BA18" i="3"/>
  <c r="AZ18" i="3"/>
  <c r="AY18" i="3"/>
  <c r="BA17" i="3"/>
  <c r="AZ17" i="3"/>
  <c r="AY17" i="3"/>
  <c r="BA16" i="3"/>
  <c r="AZ16" i="3"/>
  <c r="AY16" i="3"/>
  <c r="BA15" i="3"/>
  <c r="AZ15" i="3"/>
  <c r="AY15" i="3"/>
  <c r="BA14" i="3"/>
  <c r="AZ14" i="3"/>
  <c r="AY14" i="3"/>
  <c r="BA13" i="3"/>
  <c r="AZ13" i="3"/>
  <c r="AY13" i="3"/>
  <c r="BA12" i="3"/>
  <c r="AZ12" i="3"/>
  <c r="AY12" i="3"/>
  <c r="BA11" i="3"/>
  <c r="AZ11" i="3"/>
  <c r="AY11" i="3"/>
  <c r="BA10" i="3"/>
  <c r="AZ10" i="3"/>
  <c r="AY10" i="3"/>
  <c r="BA9" i="3"/>
  <c r="AZ9" i="3"/>
  <c r="AY9" i="3"/>
  <c r="BA8" i="3"/>
  <c r="AZ8" i="3"/>
  <c r="AY8" i="3"/>
  <c r="BA7" i="3"/>
  <c r="AZ7" i="3"/>
  <c r="AY7" i="3"/>
  <c r="BA6" i="3"/>
  <c r="AZ6" i="3"/>
  <c r="AY6" i="3"/>
  <c r="BA5" i="3"/>
  <c r="AZ5" i="3"/>
  <c r="AY5" i="3"/>
  <c r="BA4" i="3"/>
  <c r="AZ4" i="3"/>
  <c r="AY4" i="3"/>
  <c r="AZ3" i="3"/>
  <c r="AY3" i="3"/>
  <c r="AJ55" i="3"/>
  <c r="AK52" i="3"/>
  <c r="AL33" i="3"/>
  <c r="AJ31" i="3"/>
  <c r="AK12" i="3"/>
  <c r="AL9" i="3"/>
  <c r="AA55" i="3"/>
  <c r="AB52" i="3"/>
  <c r="AB44" i="3"/>
  <c r="AC41" i="3"/>
  <c r="AC33" i="3"/>
  <c r="AA31" i="3"/>
  <c r="AA23" i="3"/>
  <c r="AB20" i="3"/>
  <c r="AB12" i="3"/>
  <c r="AC9" i="3"/>
  <c r="BM3" i="3"/>
  <c r="BG3" i="3"/>
  <c r="BA3" i="3"/>
  <c r="AG3" i="3"/>
  <c r="AJ3" i="3" s="1"/>
  <c r="AR58" i="3"/>
  <c r="AU58" i="3" s="1"/>
  <c r="AQ58" i="3"/>
  <c r="AT58" i="3" s="1"/>
  <c r="AP58" i="3"/>
  <c r="AS58" i="3" s="1"/>
  <c r="AR57" i="3"/>
  <c r="AU57" i="3" s="1"/>
  <c r="AQ57" i="3"/>
  <c r="AT57" i="3" s="1"/>
  <c r="AP57" i="3"/>
  <c r="AS57" i="3" s="1"/>
  <c r="AR56" i="3"/>
  <c r="AU56" i="3" s="1"/>
  <c r="AQ56" i="3"/>
  <c r="AT56" i="3" s="1"/>
  <c r="AP56" i="3"/>
  <c r="AS56" i="3" s="1"/>
  <c r="AR55" i="3"/>
  <c r="AU55" i="3" s="1"/>
  <c r="AQ55" i="3"/>
  <c r="AT55" i="3" s="1"/>
  <c r="AP55" i="3"/>
  <c r="AS55" i="3" s="1"/>
  <c r="AR54" i="3"/>
  <c r="AU54" i="3" s="1"/>
  <c r="AQ54" i="3"/>
  <c r="AT54" i="3" s="1"/>
  <c r="AP54" i="3"/>
  <c r="AS54" i="3" s="1"/>
  <c r="AR53" i="3"/>
  <c r="AU53" i="3" s="1"/>
  <c r="AQ53" i="3"/>
  <c r="AT53" i="3" s="1"/>
  <c r="AP53" i="3"/>
  <c r="AS53" i="3" s="1"/>
  <c r="AR52" i="3"/>
  <c r="AU52" i="3" s="1"/>
  <c r="AQ52" i="3"/>
  <c r="AT52" i="3" s="1"/>
  <c r="AP52" i="3"/>
  <c r="AS52" i="3" s="1"/>
  <c r="AR51" i="3"/>
  <c r="AU51" i="3" s="1"/>
  <c r="AQ51" i="3"/>
  <c r="AT51" i="3" s="1"/>
  <c r="AP51" i="3"/>
  <c r="AS51" i="3" s="1"/>
  <c r="AR50" i="3"/>
  <c r="AU50" i="3" s="1"/>
  <c r="AQ50" i="3"/>
  <c r="AT50" i="3" s="1"/>
  <c r="AP50" i="3"/>
  <c r="AS50" i="3" s="1"/>
  <c r="AR49" i="3"/>
  <c r="AU49" i="3" s="1"/>
  <c r="AQ49" i="3"/>
  <c r="AT49" i="3" s="1"/>
  <c r="AP49" i="3"/>
  <c r="AS49" i="3" s="1"/>
  <c r="AR48" i="3"/>
  <c r="AU48" i="3" s="1"/>
  <c r="AQ48" i="3"/>
  <c r="AT48" i="3" s="1"/>
  <c r="AP48" i="3"/>
  <c r="AS48" i="3" s="1"/>
  <c r="AR47" i="3"/>
  <c r="AU47" i="3" s="1"/>
  <c r="AQ47" i="3"/>
  <c r="AT47" i="3" s="1"/>
  <c r="AP47" i="3"/>
  <c r="AS47" i="3" s="1"/>
  <c r="AR46" i="3"/>
  <c r="AU46" i="3" s="1"/>
  <c r="AQ46" i="3"/>
  <c r="AT46" i="3" s="1"/>
  <c r="AP46" i="3"/>
  <c r="AS46" i="3" s="1"/>
  <c r="AR45" i="3"/>
  <c r="AU45" i="3" s="1"/>
  <c r="AQ45" i="3"/>
  <c r="AT45" i="3" s="1"/>
  <c r="AP45" i="3"/>
  <c r="AS45" i="3" s="1"/>
  <c r="AR44" i="3"/>
  <c r="AU44" i="3" s="1"/>
  <c r="AQ44" i="3"/>
  <c r="AT44" i="3" s="1"/>
  <c r="AP44" i="3"/>
  <c r="AS44" i="3" s="1"/>
  <c r="AR43" i="3"/>
  <c r="AU43" i="3" s="1"/>
  <c r="AQ43" i="3"/>
  <c r="AT43" i="3" s="1"/>
  <c r="AP43" i="3"/>
  <c r="AS43" i="3" s="1"/>
  <c r="AR42" i="3"/>
  <c r="AU42" i="3" s="1"/>
  <c r="AQ42" i="3"/>
  <c r="AT42" i="3" s="1"/>
  <c r="AP42" i="3"/>
  <c r="AS42" i="3" s="1"/>
  <c r="AR41" i="3"/>
  <c r="AU41" i="3" s="1"/>
  <c r="AQ41" i="3"/>
  <c r="AT41" i="3" s="1"/>
  <c r="AP41" i="3"/>
  <c r="AS41" i="3" s="1"/>
  <c r="AR40" i="3"/>
  <c r="AU40" i="3" s="1"/>
  <c r="AQ40" i="3"/>
  <c r="AT40" i="3" s="1"/>
  <c r="AP40" i="3"/>
  <c r="AS40" i="3" s="1"/>
  <c r="AR39" i="3"/>
  <c r="AU39" i="3" s="1"/>
  <c r="AQ39" i="3"/>
  <c r="AT39" i="3" s="1"/>
  <c r="AP39" i="3"/>
  <c r="AS39" i="3" s="1"/>
  <c r="AR38" i="3"/>
  <c r="AU38" i="3" s="1"/>
  <c r="AQ38" i="3"/>
  <c r="AT38" i="3" s="1"/>
  <c r="AP38" i="3"/>
  <c r="AS38" i="3" s="1"/>
  <c r="AR37" i="3"/>
  <c r="AU37" i="3" s="1"/>
  <c r="AQ37" i="3"/>
  <c r="AT37" i="3" s="1"/>
  <c r="AP37" i="3"/>
  <c r="AS37" i="3" s="1"/>
  <c r="AR36" i="3"/>
  <c r="AU36" i="3" s="1"/>
  <c r="AQ36" i="3"/>
  <c r="AT36" i="3" s="1"/>
  <c r="AP36" i="3"/>
  <c r="AS36" i="3" s="1"/>
  <c r="AR35" i="3"/>
  <c r="AU35" i="3" s="1"/>
  <c r="AQ35" i="3"/>
  <c r="AT35" i="3" s="1"/>
  <c r="AP35" i="3"/>
  <c r="AS35" i="3" s="1"/>
  <c r="AR34" i="3"/>
  <c r="AU34" i="3" s="1"/>
  <c r="AQ34" i="3"/>
  <c r="AT34" i="3" s="1"/>
  <c r="AP34" i="3"/>
  <c r="AS34" i="3" s="1"/>
  <c r="AR33" i="3"/>
  <c r="AU33" i="3" s="1"/>
  <c r="AQ33" i="3"/>
  <c r="AT33" i="3" s="1"/>
  <c r="AP33" i="3"/>
  <c r="AS33" i="3" s="1"/>
  <c r="AR32" i="3"/>
  <c r="AU32" i="3" s="1"/>
  <c r="AQ32" i="3"/>
  <c r="AT32" i="3" s="1"/>
  <c r="AP32" i="3"/>
  <c r="AS32" i="3" s="1"/>
  <c r="AR31" i="3"/>
  <c r="AU31" i="3" s="1"/>
  <c r="AQ31" i="3"/>
  <c r="AT31" i="3" s="1"/>
  <c r="AP31" i="3"/>
  <c r="AS31" i="3" s="1"/>
  <c r="AR30" i="3"/>
  <c r="AU30" i="3" s="1"/>
  <c r="AQ30" i="3"/>
  <c r="AT30" i="3" s="1"/>
  <c r="AP30" i="3"/>
  <c r="AS30" i="3" s="1"/>
  <c r="AR29" i="3"/>
  <c r="AU29" i="3" s="1"/>
  <c r="AQ29" i="3"/>
  <c r="AT29" i="3" s="1"/>
  <c r="AP29" i="3"/>
  <c r="AS29" i="3" s="1"/>
  <c r="AR28" i="3"/>
  <c r="AU28" i="3" s="1"/>
  <c r="AQ28" i="3"/>
  <c r="AT28" i="3" s="1"/>
  <c r="AP28" i="3"/>
  <c r="AS28" i="3" s="1"/>
  <c r="AR27" i="3"/>
  <c r="AU27" i="3" s="1"/>
  <c r="AQ27" i="3"/>
  <c r="AT27" i="3" s="1"/>
  <c r="AP27" i="3"/>
  <c r="AS27" i="3" s="1"/>
  <c r="AR26" i="3"/>
  <c r="AU26" i="3" s="1"/>
  <c r="AQ26" i="3"/>
  <c r="AT26" i="3" s="1"/>
  <c r="AP26" i="3"/>
  <c r="AS26" i="3" s="1"/>
  <c r="AR25" i="3"/>
  <c r="AU25" i="3" s="1"/>
  <c r="AQ25" i="3"/>
  <c r="AT25" i="3" s="1"/>
  <c r="AP25" i="3"/>
  <c r="AS25" i="3" s="1"/>
  <c r="AR24" i="3"/>
  <c r="AU24" i="3" s="1"/>
  <c r="AQ24" i="3"/>
  <c r="AT24" i="3" s="1"/>
  <c r="AP24" i="3"/>
  <c r="AS24" i="3" s="1"/>
  <c r="AR23" i="3"/>
  <c r="AU23" i="3" s="1"/>
  <c r="AQ23" i="3"/>
  <c r="AT23" i="3" s="1"/>
  <c r="AP23" i="3"/>
  <c r="AS23" i="3" s="1"/>
  <c r="AR22" i="3"/>
  <c r="AU22" i="3" s="1"/>
  <c r="AQ22" i="3"/>
  <c r="AT22" i="3" s="1"/>
  <c r="AP22" i="3"/>
  <c r="AS22" i="3" s="1"/>
  <c r="AR21" i="3"/>
  <c r="AU21" i="3" s="1"/>
  <c r="AQ21" i="3"/>
  <c r="AT21" i="3" s="1"/>
  <c r="AP21" i="3"/>
  <c r="AS21" i="3" s="1"/>
  <c r="AR20" i="3"/>
  <c r="AU20" i="3" s="1"/>
  <c r="AQ20" i="3"/>
  <c r="AT20" i="3" s="1"/>
  <c r="AP20" i="3"/>
  <c r="AS20" i="3" s="1"/>
  <c r="AR19" i="3"/>
  <c r="AU19" i="3" s="1"/>
  <c r="AQ19" i="3"/>
  <c r="AT19" i="3" s="1"/>
  <c r="AP19" i="3"/>
  <c r="AS19" i="3" s="1"/>
  <c r="AR18" i="3"/>
  <c r="AU18" i="3" s="1"/>
  <c r="AQ18" i="3"/>
  <c r="AT18" i="3" s="1"/>
  <c r="AP18" i="3"/>
  <c r="AS18" i="3" s="1"/>
  <c r="AR17" i="3"/>
  <c r="AU17" i="3" s="1"/>
  <c r="AQ17" i="3"/>
  <c r="AT17" i="3" s="1"/>
  <c r="AP17" i="3"/>
  <c r="AS17" i="3" s="1"/>
  <c r="AR16" i="3"/>
  <c r="AU16" i="3" s="1"/>
  <c r="AQ16" i="3"/>
  <c r="AT16" i="3" s="1"/>
  <c r="AP16" i="3"/>
  <c r="AS16" i="3" s="1"/>
  <c r="AR15" i="3"/>
  <c r="AU15" i="3" s="1"/>
  <c r="AQ15" i="3"/>
  <c r="AT15" i="3" s="1"/>
  <c r="AP15" i="3"/>
  <c r="AS15" i="3" s="1"/>
  <c r="AR14" i="3"/>
  <c r="AU14" i="3" s="1"/>
  <c r="AQ14" i="3"/>
  <c r="AT14" i="3" s="1"/>
  <c r="AP14" i="3"/>
  <c r="AS14" i="3" s="1"/>
  <c r="AR13" i="3"/>
  <c r="AU13" i="3" s="1"/>
  <c r="AQ13" i="3"/>
  <c r="AT13" i="3" s="1"/>
  <c r="AP13" i="3"/>
  <c r="AS13" i="3" s="1"/>
  <c r="AR12" i="3"/>
  <c r="AU12" i="3" s="1"/>
  <c r="AQ12" i="3"/>
  <c r="AT12" i="3" s="1"/>
  <c r="AP12" i="3"/>
  <c r="AS12" i="3" s="1"/>
  <c r="AR11" i="3"/>
  <c r="AU11" i="3" s="1"/>
  <c r="AQ11" i="3"/>
  <c r="AT11" i="3" s="1"/>
  <c r="AP11" i="3"/>
  <c r="AS11" i="3" s="1"/>
  <c r="AR10" i="3"/>
  <c r="AU10" i="3" s="1"/>
  <c r="AQ10" i="3"/>
  <c r="AT10" i="3" s="1"/>
  <c r="AP10" i="3"/>
  <c r="AS10" i="3" s="1"/>
  <c r="AR9" i="3"/>
  <c r="AU9" i="3" s="1"/>
  <c r="AQ9" i="3"/>
  <c r="AT9" i="3" s="1"/>
  <c r="AP9" i="3"/>
  <c r="AS9" i="3" s="1"/>
  <c r="AR8" i="3"/>
  <c r="AU8" i="3" s="1"/>
  <c r="AQ8" i="3"/>
  <c r="AT8" i="3" s="1"/>
  <c r="AP8" i="3"/>
  <c r="AS8" i="3" s="1"/>
  <c r="AR7" i="3"/>
  <c r="AU7" i="3" s="1"/>
  <c r="AQ7" i="3"/>
  <c r="AT7" i="3" s="1"/>
  <c r="AP7" i="3"/>
  <c r="AS7" i="3" s="1"/>
  <c r="AR6" i="3"/>
  <c r="AU6" i="3" s="1"/>
  <c r="AQ6" i="3"/>
  <c r="AT6" i="3" s="1"/>
  <c r="AP6" i="3"/>
  <c r="AS6" i="3" s="1"/>
  <c r="AR5" i="3"/>
  <c r="AU5" i="3" s="1"/>
  <c r="AQ5" i="3"/>
  <c r="AT5" i="3" s="1"/>
  <c r="AP5" i="3"/>
  <c r="AS5" i="3" s="1"/>
  <c r="AR4" i="3"/>
  <c r="AU4" i="3" s="1"/>
  <c r="AQ4" i="3"/>
  <c r="AT4" i="3" s="1"/>
  <c r="AP4" i="3"/>
  <c r="AS4" i="3" s="1"/>
  <c r="AR3" i="3"/>
  <c r="AU3" i="3" s="1"/>
  <c r="AQ3" i="3"/>
  <c r="AT3" i="3" s="1"/>
  <c r="AP3" i="3"/>
  <c r="AS3" i="3" s="1"/>
  <c r="AI58" i="3"/>
  <c r="AL58" i="3" s="1"/>
  <c r="AH58" i="3"/>
  <c r="AK58" i="3" s="1"/>
  <c r="AG58" i="3"/>
  <c r="AJ58" i="3" s="1"/>
  <c r="AI57" i="3"/>
  <c r="AL57" i="3" s="1"/>
  <c r="AH57" i="3"/>
  <c r="AK57" i="3" s="1"/>
  <c r="AG57" i="3"/>
  <c r="AJ57" i="3" s="1"/>
  <c r="AI56" i="3"/>
  <c r="AL56" i="3" s="1"/>
  <c r="AH56" i="3"/>
  <c r="AK56" i="3" s="1"/>
  <c r="AG56" i="3"/>
  <c r="AJ56" i="3" s="1"/>
  <c r="AI55" i="3"/>
  <c r="AL55" i="3" s="1"/>
  <c r="AH55" i="3"/>
  <c r="AK55" i="3" s="1"/>
  <c r="AG55" i="3"/>
  <c r="AI54" i="3"/>
  <c r="AL54" i="3" s="1"/>
  <c r="AH54" i="3"/>
  <c r="AK54" i="3" s="1"/>
  <c r="AG54" i="3"/>
  <c r="AJ54" i="3" s="1"/>
  <c r="AI53" i="3"/>
  <c r="AL53" i="3" s="1"/>
  <c r="AH53" i="3"/>
  <c r="AK53" i="3" s="1"/>
  <c r="AG53" i="3"/>
  <c r="AJ53" i="3" s="1"/>
  <c r="AI52" i="3"/>
  <c r="AL52" i="3" s="1"/>
  <c r="AH52" i="3"/>
  <c r="AG52" i="3"/>
  <c r="AJ52" i="3" s="1"/>
  <c r="AI51" i="3"/>
  <c r="AL51" i="3" s="1"/>
  <c r="AH51" i="3"/>
  <c r="AK51" i="3" s="1"/>
  <c r="AG51" i="3"/>
  <c r="AJ51" i="3" s="1"/>
  <c r="AI50" i="3"/>
  <c r="AL50" i="3" s="1"/>
  <c r="AH50" i="3"/>
  <c r="AK50" i="3" s="1"/>
  <c r="AG50" i="3"/>
  <c r="AJ50" i="3" s="1"/>
  <c r="AI49" i="3"/>
  <c r="AL49" i="3" s="1"/>
  <c r="AH49" i="3"/>
  <c r="AK49" i="3" s="1"/>
  <c r="AG49" i="3"/>
  <c r="AJ49" i="3" s="1"/>
  <c r="AI48" i="3"/>
  <c r="AL48" i="3" s="1"/>
  <c r="AH48" i="3"/>
  <c r="AK48" i="3" s="1"/>
  <c r="AG48" i="3"/>
  <c r="AJ48" i="3" s="1"/>
  <c r="AI47" i="3"/>
  <c r="AL47" i="3" s="1"/>
  <c r="AH47" i="3"/>
  <c r="AK47" i="3" s="1"/>
  <c r="AG47" i="3"/>
  <c r="AJ47" i="3" s="1"/>
  <c r="AI46" i="3"/>
  <c r="AL46" i="3" s="1"/>
  <c r="AH46" i="3"/>
  <c r="AK46" i="3" s="1"/>
  <c r="AG46" i="3"/>
  <c r="AJ46" i="3" s="1"/>
  <c r="AI45" i="3"/>
  <c r="AL45" i="3" s="1"/>
  <c r="AH45" i="3"/>
  <c r="AK45" i="3" s="1"/>
  <c r="AG45" i="3"/>
  <c r="AJ45" i="3" s="1"/>
  <c r="AI44" i="3"/>
  <c r="AL44" i="3" s="1"/>
  <c r="AH44" i="3"/>
  <c r="AK44" i="3" s="1"/>
  <c r="AG44" i="3"/>
  <c r="AJ44" i="3" s="1"/>
  <c r="AI43" i="3"/>
  <c r="AL43" i="3" s="1"/>
  <c r="AH43" i="3"/>
  <c r="AK43" i="3" s="1"/>
  <c r="AG43" i="3"/>
  <c r="AJ43" i="3" s="1"/>
  <c r="AI42" i="3"/>
  <c r="AL42" i="3" s="1"/>
  <c r="AH42" i="3"/>
  <c r="AK42" i="3" s="1"/>
  <c r="AG42" i="3"/>
  <c r="AJ42" i="3" s="1"/>
  <c r="AI41" i="3"/>
  <c r="AL41" i="3" s="1"/>
  <c r="AH41" i="3"/>
  <c r="AK41" i="3" s="1"/>
  <c r="AG41" i="3"/>
  <c r="AJ41" i="3" s="1"/>
  <c r="AI40" i="3"/>
  <c r="AL40" i="3" s="1"/>
  <c r="AH40" i="3"/>
  <c r="AK40" i="3" s="1"/>
  <c r="AG40" i="3"/>
  <c r="AJ40" i="3" s="1"/>
  <c r="AI39" i="3"/>
  <c r="AL39" i="3" s="1"/>
  <c r="AH39" i="3"/>
  <c r="AK39" i="3" s="1"/>
  <c r="AG39" i="3"/>
  <c r="AJ39" i="3" s="1"/>
  <c r="AI38" i="3"/>
  <c r="AL38" i="3" s="1"/>
  <c r="AH38" i="3"/>
  <c r="AK38" i="3" s="1"/>
  <c r="AG38" i="3"/>
  <c r="AJ38" i="3" s="1"/>
  <c r="AI37" i="3"/>
  <c r="AL37" i="3" s="1"/>
  <c r="AH37" i="3"/>
  <c r="AK37" i="3" s="1"/>
  <c r="AG37" i="3"/>
  <c r="AJ37" i="3" s="1"/>
  <c r="AI36" i="3"/>
  <c r="AL36" i="3" s="1"/>
  <c r="AH36" i="3"/>
  <c r="AK36" i="3" s="1"/>
  <c r="AG36" i="3"/>
  <c r="AJ36" i="3" s="1"/>
  <c r="AI35" i="3"/>
  <c r="AL35" i="3" s="1"/>
  <c r="AH35" i="3"/>
  <c r="AK35" i="3" s="1"/>
  <c r="AG35" i="3"/>
  <c r="AJ35" i="3" s="1"/>
  <c r="AI34" i="3"/>
  <c r="AL34" i="3" s="1"/>
  <c r="AH34" i="3"/>
  <c r="AK34" i="3" s="1"/>
  <c r="AG34" i="3"/>
  <c r="AJ34" i="3" s="1"/>
  <c r="AI33" i="3"/>
  <c r="AH33" i="3"/>
  <c r="AK33" i="3" s="1"/>
  <c r="AG33" i="3"/>
  <c r="AJ33" i="3" s="1"/>
  <c r="AI32" i="3"/>
  <c r="AL32" i="3" s="1"/>
  <c r="AH32" i="3"/>
  <c r="AK32" i="3" s="1"/>
  <c r="AG32" i="3"/>
  <c r="AJ32" i="3" s="1"/>
  <c r="AI31" i="3"/>
  <c r="AL31" i="3" s="1"/>
  <c r="AH31" i="3"/>
  <c r="AK31" i="3" s="1"/>
  <c r="AG31" i="3"/>
  <c r="AI30" i="3"/>
  <c r="AL30" i="3" s="1"/>
  <c r="AH30" i="3"/>
  <c r="AK30" i="3" s="1"/>
  <c r="AG30" i="3"/>
  <c r="AJ30" i="3" s="1"/>
  <c r="AI29" i="3"/>
  <c r="AL29" i="3" s="1"/>
  <c r="AH29" i="3"/>
  <c r="AK29" i="3" s="1"/>
  <c r="AG29" i="3"/>
  <c r="AJ29" i="3" s="1"/>
  <c r="AI28" i="3"/>
  <c r="AL28" i="3" s="1"/>
  <c r="AH28" i="3"/>
  <c r="AK28" i="3" s="1"/>
  <c r="AG28" i="3"/>
  <c r="AJ28" i="3" s="1"/>
  <c r="AI27" i="3"/>
  <c r="AL27" i="3" s="1"/>
  <c r="AH27" i="3"/>
  <c r="AK27" i="3" s="1"/>
  <c r="AG27" i="3"/>
  <c r="AJ27" i="3" s="1"/>
  <c r="AI26" i="3"/>
  <c r="AL26" i="3" s="1"/>
  <c r="AH26" i="3"/>
  <c r="AK26" i="3" s="1"/>
  <c r="AG26" i="3"/>
  <c r="AJ26" i="3" s="1"/>
  <c r="AI25" i="3"/>
  <c r="AL25" i="3" s="1"/>
  <c r="AH25" i="3"/>
  <c r="AK25" i="3" s="1"/>
  <c r="AG25" i="3"/>
  <c r="AJ25" i="3" s="1"/>
  <c r="AI24" i="3"/>
  <c r="AL24" i="3" s="1"/>
  <c r="AH24" i="3"/>
  <c r="AK24" i="3" s="1"/>
  <c r="AG24" i="3"/>
  <c r="AJ24" i="3" s="1"/>
  <c r="AI23" i="3"/>
  <c r="AL23" i="3" s="1"/>
  <c r="AH23" i="3"/>
  <c r="AK23" i="3" s="1"/>
  <c r="AG23" i="3"/>
  <c r="AJ23" i="3" s="1"/>
  <c r="AI22" i="3"/>
  <c r="AL22" i="3" s="1"/>
  <c r="AH22" i="3"/>
  <c r="AK22" i="3" s="1"/>
  <c r="AG22" i="3"/>
  <c r="AJ22" i="3" s="1"/>
  <c r="AI21" i="3"/>
  <c r="AL21" i="3" s="1"/>
  <c r="AH21" i="3"/>
  <c r="AK21" i="3" s="1"/>
  <c r="AG21" i="3"/>
  <c r="AJ21" i="3" s="1"/>
  <c r="AI20" i="3"/>
  <c r="AL20" i="3" s="1"/>
  <c r="AH20" i="3"/>
  <c r="AK20" i="3" s="1"/>
  <c r="AG20" i="3"/>
  <c r="AJ20" i="3" s="1"/>
  <c r="AI19" i="3"/>
  <c r="AL19" i="3" s="1"/>
  <c r="AH19" i="3"/>
  <c r="AK19" i="3" s="1"/>
  <c r="AG19" i="3"/>
  <c r="AJ19" i="3" s="1"/>
  <c r="AI18" i="3"/>
  <c r="AL18" i="3" s="1"/>
  <c r="AH18" i="3"/>
  <c r="AK18" i="3" s="1"/>
  <c r="AG18" i="3"/>
  <c r="AJ18" i="3" s="1"/>
  <c r="AI17" i="3"/>
  <c r="AL17" i="3" s="1"/>
  <c r="AH17" i="3"/>
  <c r="AK17" i="3" s="1"/>
  <c r="AG17" i="3"/>
  <c r="AJ17" i="3" s="1"/>
  <c r="AI16" i="3"/>
  <c r="AL16" i="3" s="1"/>
  <c r="AH16" i="3"/>
  <c r="AK16" i="3" s="1"/>
  <c r="AG16" i="3"/>
  <c r="AJ16" i="3" s="1"/>
  <c r="AI15" i="3"/>
  <c r="AL15" i="3" s="1"/>
  <c r="AH15" i="3"/>
  <c r="AK15" i="3" s="1"/>
  <c r="AG15" i="3"/>
  <c r="AJ15" i="3" s="1"/>
  <c r="AI14" i="3"/>
  <c r="AL14" i="3" s="1"/>
  <c r="AH14" i="3"/>
  <c r="AK14" i="3" s="1"/>
  <c r="AG14" i="3"/>
  <c r="AJ14" i="3" s="1"/>
  <c r="AI13" i="3"/>
  <c r="AL13" i="3" s="1"/>
  <c r="AH13" i="3"/>
  <c r="AK13" i="3" s="1"/>
  <c r="AG13" i="3"/>
  <c r="AJ13" i="3" s="1"/>
  <c r="AI12" i="3"/>
  <c r="AL12" i="3" s="1"/>
  <c r="AH12" i="3"/>
  <c r="AG12" i="3"/>
  <c r="AJ12" i="3" s="1"/>
  <c r="AI11" i="3"/>
  <c r="AL11" i="3" s="1"/>
  <c r="AH11" i="3"/>
  <c r="AK11" i="3" s="1"/>
  <c r="AG11" i="3"/>
  <c r="AJ11" i="3" s="1"/>
  <c r="AI10" i="3"/>
  <c r="AL10" i="3" s="1"/>
  <c r="AH10" i="3"/>
  <c r="AK10" i="3" s="1"/>
  <c r="AG10" i="3"/>
  <c r="AJ10" i="3" s="1"/>
  <c r="AI9" i="3"/>
  <c r="AH9" i="3"/>
  <c r="AK9" i="3" s="1"/>
  <c r="AG9" i="3"/>
  <c r="AJ9" i="3" s="1"/>
  <c r="AI8" i="3"/>
  <c r="AL8" i="3" s="1"/>
  <c r="AH8" i="3"/>
  <c r="AK8" i="3" s="1"/>
  <c r="AG8" i="3"/>
  <c r="AJ8" i="3" s="1"/>
  <c r="AI7" i="3"/>
  <c r="AL7" i="3" s="1"/>
  <c r="AH7" i="3"/>
  <c r="AK7" i="3" s="1"/>
  <c r="AG7" i="3"/>
  <c r="AJ7" i="3" s="1"/>
  <c r="AI6" i="3"/>
  <c r="AL6" i="3" s="1"/>
  <c r="AH6" i="3"/>
  <c r="AK6" i="3" s="1"/>
  <c r="AG6" i="3"/>
  <c r="AJ6" i="3" s="1"/>
  <c r="AI5" i="3"/>
  <c r="AL5" i="3" s="1"/>
  <c r="AH5" i="3"/>
  <c r="AK5" i="3" s="1"/>
  <c r="AG5" i="3"/>
  <c r="AJ5" i="3" s="1"/>
  <c r="AI4" i="3"/>
  <c r="AL4" i="3" s="1"/>
  <c r="AH4" i="3"/>
  <c r="AK4" i="3" s="1"/>
  <c r="AG4" i="3"/>
  <c r="AJ4" i="3" s="1"/>
  <c r="AI3" i="3"/>
  <c r="AL3" i="3" s="1"/>
  <c r="AH3" i="3"/>
  <c r="AK3" i="3" s="1"/>
  <c r="X4" i="3"/>
  <c r="AA4" i="3" s="1"/>
  <c r="Y4" i="3"/>
  <c r="AB4" i="3" s="1"/>
  <c r="Z4" i="3"/>
  <c r="AC4" i="3" s="1"/>
  <c r="X5" i="3"/>
  <c r="AA5" i="3" s="1"/>
  <c r="Y5" i="3"/>
  <c r="AB5" i="3" s="1"/>
  <c r="Z5" i="3"/>
  <c r="AC5" i="3" s="1"/>
  <c r="X6" i="3"/>
  <c r="AA6" i="3" s="1"/>
  <c r="Y6" i="3"/>
  <c r="AB6" i="3" s="1"/>
  <c r="Z6" i="3"/>
  <c r="AC6" i="3" s="1"/>
  <c r="X7" i="3"/>
  <c r="AA7" i="3" s="1"/>
  <c r="Y7" i="3"/>
  <c r="AB7" i="3" s="1"/>
  <c r="Z7" i="3"/>
  <c r="AC7" i="3" s="1"/>
  <c r="X8" i="3"/>
  <c r="AA8" i="3" s="1"/>
  <c r="Y8" i="3"/>
  <c r="AB8" i="3" s="1"/>
  <c r="Z8" i="3"/>
  <c r="AC8" i="3" s="1"/>
  <c r="X9" i="3"/>
  <c r="AA9" i="3" s="1"/>
  <c r="Y9" i="3"/>
  <c r="AB9" i="3" s="1"/>
  <c r="Z9" i="3"/>
  <c r="X10" i="3"/>
  <c r="AA10" i="3" s="1"/>
  <c r="Y10" i="3"/>
  <c r="AB10" i="3" s="1"/>
  <c r="Z10" i="3"/>
  <c r="AC10" i="3" s="1"/>
  <c r="X11" i="3"/>
  <c r="AA11" i="3" s="1"/>
  <c r="Y11" i="3"/>
  <c r="AB11" i="3" s="1"/>
  <c r="Z11" i="3"/>
  <c r="AC11" i="3" s="1"/>
  <c r="X12" i="3"/>
  <c r="AA12" i="3" s="1"/>
  <c r="Y12" i="3"/>
  <c r="Z12" i="3"/>
  <c r="AC12" i="3" s="1"/>
  <c r="X13" i="3"/>
  <c r="AA13" i="3" s="1"/>
  <c r="Y13" i="3"/>
  <c r="AB13" i="3" s="1"/>
  <c r="Z13" i="3"/>
  <c r="AC13" i="3" s="1"/>
  <c r="X14" i="3"/>
  <c r="AA14" i="3" s="1"/>
  <c r="Y14" i="3"/>
  <c r="AB14" i="3" s="1"/>
  <c r="Z14" i="3"/>
  <c r="AC14" i="3" s="1"/>
  <c r="X15" i="3"/>
  <c r="AA15" i="3" s="1"/>
  <c r="Y15" i="3"/>
  <c r="AB15" i="3" s="1"/>
  <c r="Z15" i="3"/>
  <c r="AC15" i="3" s="1"/>
  <c r="X16" i="3"/>
  <c r="AA16" i="3" s="1"/>
  <c r="Y16" i="3"/>
  <c r="AB16" i="3" s="1"/>
  <c r="Z16" i="3"/>
  <c r="AC16" i="3" s="1"/>
  <c r="X17" i="3"/>
  <c r="AA17" i="3" s="1"/>
  <c r="Y17" i="3"/>
  <c r="AB17" i="3" s="1"/>
  <c r="Z17" i="3"/>
  <c r="AC17" i="3" s="1"/>
  <c r="X18" i="3"/>
  <c r="AA18" i="3" s="1"/>
  <c r="Y18" i="3"/>
  <c r="AB18" i="3" s="1"/>
  <c r="Z18" i="3"/>
  <c r="AC18" i="3" s="1"/>
  <c r="X19" i="3"/>
  <c r="AA19" i="3" s="1"/>
  <c r="Y19" i="3"/>
  <c r="AB19" i="3" s="1"/>
  <c r="Z19" i="3"/>
  <c r="AC19" i="3" s="1"/>
  <c r="X20" i="3"/>
  <c r="AA20" i="3" s="1"/>
  <c r="Y20" i="3"/>
  <c r="Z20" i="3"/>
  <c r="AC20" i="3" s="1"/>
  <c r="X21" i="3"/>
  <c r="AA21" i="3" s="1"/>
  <c r="Y21" i="3"/>
  <c r="AB21" i="3" s="1"/>
  <c r="Z21" i="3"/>
  <c r="AC21" i="3" s="1"/>
  <c r="X22" i="3"/>
  <c r="AA22" i="3" s="1"/>
  <c r="Y22" i="3"/>
  <c r="AB22" i="3" s="1"/>
  <c r="Z22" i="3"/>
  <c r="AC22" i="3" s="1"/>
  <c r="X23" i="3"/>
  <c r="Y23" i="3"/>
  <c r="AB23" i="3" s="1"/>
  <c r="Z23" i="3"/>
  <c r="AC23" i="3" s="1"/>
  <c r="X24" i="3"/>
  <c r="AA24" i="3" s="1"/>
  <c r="Y24" i="3"/>
  <c r="AB24" i="3" s="1"/>
  <c r="Z24" i="3"/>
  <c r="AC24" i="3" s="1"/>
  <c r="X25" i="3"/>
  <c r="AA25" i="3" s="1"/>
  <c r="Y25" i="3"/>
  <c r="AB25" i="3" s="1"/>
  <c r="Z25" i="3"/>
  <c r="AC25" i="3" s="1"/>
  <c r="X26" i="3"/>
  <c r="AA26" i="3" s="1"/>
  <c r="Y26" i="3"/>
  <c r="AB26" i="3" s="1"/>
  <c r="Z26" i="3"/>
  <c r="AC26" i="3" s="1"/>
  <c r="X27" i="3"/>
  <c r="AA27" i="3" s="1"/>
  <c r="Y27" i="3"/>
  <c r="AB27" i="3" s="1"/>
  <c r="Z27" i="3"/>
  <c r="AC27" i="3" s="1"/>
  <c r="X28" i="3"/>
  <c r="AA28" i="3" s="1"/>
  <c r="Y28" i="3"/>
  <c r="AB28" i="3" s="1"/>
  <c r="Z28" i="3"/>
  <c r="AC28" i="3" s="1"/>
  <c r="X29" i="3"/>
  <c r="AA29" i="3" s="1"/>
  <c r="Y29" i="3"/>
  <c r="AB29" i="3" s="1"/>
  <c r="Z29" i="3"/>
  <c r="AC29" i="3" s="1"/>
  <c r="X30" i="3"/>
  <c r="AA30" i="3" s="1"/>
  <c r="Y30" i="3"/>
  <c r="AB30" i="3" s="1"/>
  <c r="Z30" i="3"/>
  <c r="AC30" i="3" s="1"/>
  <c r="X31" i="3"/>
  <c r="Y31" i="3"/>
  <c r="AB31" i="3" s="1"/>
  <c r="Z31" i="3"/>
  <c r="AC31" i="3" s="1"/>
  <c r="X32" i="3"/>
  <c r="AA32" i="3" s="1"/>
  <c r="Y32" i="3"/>
  <c r="AB32" i="3" s="1"/>
  <c r="Z32" i="3"/>
  <c r="AC32" i="3" s="1"/>
  <c r="X33" i="3"/>
  <c r="AA33" i="3" s="1"/>
  <c r="Y33" i="3"/>
  <c r="AB33" i="3" s="1"/>
  <c r="Z33" i="3"/>
  <c r="X34" i="3"/>
  <c r="AA34" i="3" s="1"/>
  <c r="Y34" i="3"/>
  <c r="AB34" i="3" s="1"/>
  <c r="Z34" i="3"/>
  <c r="AC34" i="3" s="1"/>
  <c r="X35" i="3"/>
  <c r="AA35" i="3" s="1"/>
  <c r="Y35" i="3"/>
  <c r="AB35" i="3" s="1"/>
  <c r="Z35" i="3"/>
  <c r="AC35" i="3" s="1"/>
  <c r="X36" i="3"/>
  <c r="AA36" i="3" s="1"/>
  <c r="Y36" i="3"/>
  <c r="AB36" i="3" s="1"/>
  <c r="Z36" i="3"/>
  <c r="AC36" i="3" s="1"/>
  <c r="X37" i="3"/>
  <c r="AA37" i="3" s="1"/>
  <c r="Y37" i="3"/>
  <c r="AB37" i="3" s="1"/>
  <c r="Z37" i="3"/>
  <c r="AC37" i="3" s="1"/>
  <c r="X38" i="3"/>
  <c r="AA38" i="3" s="1"/>
  <c r="Y38" i="3"/>
  <c r="AB38" i="3" s="1"/>
  <c r="Z38" i="3"/>
  <c r="AC38" i="3" s="1"/>
  <c r="X39" i="3"/>
  <c r="AA39" i="3" s="1"/>
  <c r="Y39" i="3"/>
  <c r="AB39" i="3" s="1"/>
  <c r="Z39" i="3"/>
  <c r="AC39" i="3" s="1"/>
  <c r="X40" i="3"/>
  <c r="AA40" i="3" s="1"/>
  <c r="Y40" i="3"/>
  <c r="AB40" i="3" s="1"/>
  <c r="Z40" i="3"/>
  <c r="AC40" i="3" s="1"/>
  <c r="X41" i="3"/>
  <c r="AA41" i="3" s="1"/>
  <c r="Y41" i="3"/>
  <c r="AB41" i="3" s="1"/>
  <c r="Z41" i="3"/>
  <c r="X42" i="3"/>
  <c r="AA42" i="3" s="1"/>
  <c r="Y42" i="3"/>
  <c r="AB42" i="3" s="1"/>
  <c r="Z42" i="3"/>
  <c r="AC42" i="3" s="1"/>
  <c r="X43" i="3"/>
  <c r="AA43" i="3" s="1"/>
  <c r="Y43" i="3"/>
  <c r="AB43" i="3" s="1"/>
  <c r="Z43" i="3"/>
  <c r="AC43" i="3" s="1"/>
  <c r="X44" i="3"/>
  <c r="AA44" i="3" s="1"/>
  <c r="Y44" i="3"/>
  <c r="Z44" i="3"/>
  <c r="AC44" i="3" s="1"/>
  <c r="X45" i="3"/>
  <c r="AA45" i="3" s="1"/>
  <c r="Y45" i="3"/>
  <c r="AB45" i="3" s="1"/>
  <c r="Z45" i="3"/>
  <c r="AC45" i="3" s="1"/>
  <c r="X46" i="3"/>
  <c r="AA46" i="3" s="1"/>
  <c r="Y46" i="3"/>
  <c r="AB46" i="3" s="1"/>
  <c r="Z46" i="3"/>
  <c r="AC46" i="3" s="1"/>
  <c r="X47" i="3"/>
  <c r="AA47" i="3" s="1"/>
  <c r="Y47" i="3"/>
  <c r="AB47" i="3" s="1"/>
  <c r="Z47" i="3"/>
  <c r="AC47" i="3" s="1"/>
  <c r="X48" i="3"/>
  <c r="AA48" i="3" s="1"/>
  <c r="Y48" i="3"/>
  <c r="AB48" i="3" s="1"/>
  <c r="Z48" i="3"/>
  <c r="AC48" i="3" s="1"/>
  <c r="X49" i="3"/>
  <c r="AA49" i="3" s="1"/>
  <c r="Y49" i="3"/>
  <c r="AB49" i="3" s="1"/>
  <c r="Z49" i="3"/>
  <c r="AC49" i="3" s="1"/>
  <c r="X50" i="3"/>
  <c r="AA50" i="3" s="1"/>
  <c r="Y50" i="3"/>
  <c r="AB50" i="3" s="1"/>
  <c r="Z50" i="3"/>
  <c r="AC50" i="3" s="1"/>
  <c r="X51" i="3"/>
  <c r="AA51" i="3" s="1"/>
  <c r="Y51" i="3"/>
  <c r="AB51" i="3" s="1"/>
  <c r="Z51" i="3"/>
  <c r="AC51" i="3" s="1"/>
  <c r="X52" i="3"/>
  <c r="AA52" i="3" s="1"/>
  <c r="Y52" i="3"/>
  <c r="Z52" i="3"/>
  <c r="AC52" i="3" s="1"/>
  <c r="X53" i="3"/>
  <c r="AA53" i="3" s="1"/>
  <c r="Y53" i="3"/>
  <c r="AB53" i="3" s="1"/>
  <c r="Z53" i="3"/>
  <c r="AC53" i="3" s="1"/>
  <c r="X54" i="3"/>
  <c r="AA54" i="3" s="1"/>
  <c r="Y54" i="3"/>
  <c r="AB54" i="3" s="1"/>
  <c r="Z54" i="3"/>
  <c r="AC54" i="3" s="1"/>
  <c r="X55" i="3"/>
  <c r="Y55" i="3"/>
  <c r="AB55" i="3" s="1"/>
  <c r="Z55" i="3"/>
  <c r="AC55" i="3" s="1"/>
  <c r="X56" i="3"/>
  <c r="AA56" i="3" s="1"/>
  <c r="Y56" i="3"/>
  <c r="AB56" i="3" s="1"/>
  <c r="Z56" i="3"/>
  <c r="AC56" i="3" s="1"/>
  <c r="X57" i="3"/>
  <c r="AA57" i="3" s="1"/>
  <c r="Y57" i="3"/>
  <c r="AB57" i="3" s="1"/>
  <c r="Z57" i="3"/>
  <c r="AC57" i="3" s="1"/>
  <c r="X58" i="3"/>
  <c r="AA58" i="3" s="1"/>
  <c r="Y58" i="3"/>
  <c r="AB58" i="3" s="1"/>
  <c r="Z58" i="3"/>
  <c r="AC58" i="3" s="1"/>
  <c r="Y3" i="3"/>
  <c r="AB3" i="3" s="1"/>
  <c r="Z3" i="3"/>
  <c r="AC3" i="3" s="1"/>
  <c r="X3" i="3"/>
  <c r="AA3" i="3" s="1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B51" i="3" l="1"/>
  <c r="C48" i="3"/>
  <c r="C40" i="3"/>
  <c r="B27" i="3"/>
  <c r="C24" i="3"/>
  <c r="B19" i="3"/>
  <c r="B11" i="3"/>
  <c r="C8" i="3"/>
  <c r="C55" i="3"/>
  <c r="C23" i="3"/>
  <c r="C15" i="3"/>
  <c r="C7" i="3"/>
  <c r="C52" i="3"/>
  <c r="B31" i="3"/>
  <c r="C12" i="3"/>
  <c r="C4" i="3"/>
  <c r="C30" i="3"/>
  <c r="B25" i="3"/>
  <c r="C14" i="3"/>
  <c r="B9" i="3"/>
  <c r="C6" i="3"/>
  <c r="C10" i="3"/>
  <c r="B13" i="3"/>
  <c r="C19" i="3"/>
  <c r="C11" i="3"/>
  <c r="B6" i="3"/>
  <c r="B16" i="3"/>
  <c r="C16" i="3"/>
  <c r="C3" i="3"/>
  <c r="B56" i="3"/>
  <c r="C53" i="3"/>
  <c r="B24" i="3"/>
  <c r="C21" i="3"/>
  <c r="B36" i="3"/>
  <c r="B3" i="3"/>
  <c r="C56" i="3"/>
  <c r="C58" i="3"/>
  <c r="B29" i="3"/>
  <c r="B44" i="3"/>
  <c r="B52" i="3"/>
  <c r="B4" i="3"/>
  <c r="B8" i="3"/>
  <c r="B43" i="3"/>
  <c r="C13" i="3"/>
  <c r="C5" i="3"/>
  <c r="B30" i="3"/>
  <c r="B21" i="3"/>
  <c r="C18" i="3"/>
  <c r="C20" i="3"/>
  <c r="B7" i="3"/>
  <c r="C25" i="3"/>
  <c r="C17" i="3"/>
  <c r="C9" i="3"/>
  <c r="B18" i="3"/>
  <c r="B10" i="3"/>
  <c r="B5" i="3"/>
  <c r="B53" i="3"/>
  <c r="B45" i="3"/>
  <c r="B50" i="3"/>
  <c r="B42" i="3"/>
  <c r="C36" i="3"/>
  <c r="B35" i="3"/>
  <c r="B37" i="3"/>
  <c r="B34" i="3"/>
  <c r="B57" i="3"/>
  <c r="C57" i="3"/>
  <c r="B58" i="3"/>
  <c r="B55" i="3"/>
  <c r="B54" i="3"/>
  <c r="B39" i="3"/>
  <c r="C44" i="3"/>
  <c r="B47" i="3"/>
  <c r="B40" i="3"/>
  <c r="B48" i="3"/>
  <c r="C45" i="3"/>
  <c r="C37" i="3"/>
  <c r="B38" i="3"/>
  <c r="B46" i="3"/>
  <c r="C50" i="3"/>
  <c r="C42" i="3"/>
  <c r="C34" i="3"/>
  <c r="B33" i="3"/>
  <c r="B41" i="3"/>
  <c r="B49" i="3"/>
  <c r="C47" i="3"/>
  <c r="C39" i="3"/>
  <c r="C54" i="3"/>
  <c r="C49" i="3"/>
  <c r="C41" i="3"/>
  <c r="C33" i="3"/>
  <c r="C38" i="3"/>
  <c r="C51" i="3"/>
  <c r="C43" i="3"/>
  <c r="C35" i="3"/>
  <c r="C46" i="3"/>
  <c r="B28" i="3"/>
  <c r="B12" i="3"/>
  <c r="B15" i="3"/>
  <c r="B17" i="3"/>
  <c r="B14" i="3"/>
  <c r="B32" i="3"/>
  <c r="C32" i="3"/>
  <c r="C31" i="3"/>
  <c r="C29" i="3"/>
  <c r="C28" i="3"/>
  <c r="C27" i="3"/>
  <c r="C26" i="3"/>
  <c r="B26" i="3"/>
  <c r="C22" i="3"/>
  <c r="B23" i="3"/>
  <c r="B22" i="3"/>
  <c r="B20" i="3"/>
</calcChain>
</file>

<file path=xl/sharedStrings.xml><?xml version="1.0" encoding="utf-8"?>
<sst xmlns="http://schemas.openxmlformats.org/spreadsheetml/2006/main" count="242" uniqueCount="55">
  <si>
    <t>bp_number</t>
  </si>
  <si>
    <t>target</t>
  </si>
  <si>
    <t>exiv2-50315</t>
  </si>
  <si>
    <t>arrow-40653</t>
  </si>
  <si>
    <t>aspell-18462</t>
  </si>
  <si>
    <t>curl-8000</t>
  </si>
  <si>
    <t>file-30222</t>
  </si>
  <si>
    <t>grok-28418</t>
  </si>
  <si>
    <t>harfbuzz-55779</t>
  </si>
  <si>
    <t>leptonica-25212</t>
  </si>
  <si>
    <t>libarchive-44843</t>
  </si>
  <si>
    <t>libhtp-17198</t>
  </si>
  <si>
    <t>libxml2-17737</t>
  </si>
  <si>
    <t>ndpi-49057</t>
  </si>
  <si>
    <t>openh264-26220</t>
  </si>
  <si>
    <t>openssl-17715</t>
  </si>
  <si>
    <t>pcapplusplus-23592</t>
  </si>
  <si>
    <t>readstat-13262</t>
  </si>
  <si>
    <t>usrsctp-18080</t>
  </si>
  <si>
    <t>zstd-21970</t>
  </si>
  <si>
    <t>x</t>
  </si>
  <si>
    <t>with_benign</t>
  </si>
  <si>
    <t>warned_file</t>
  </si>
  <si>
    <t>warned_function</t>
  </si>
  <si>
    <t>warned_block</t>
  </si>
  <si>
    <t>warnings_target_file</t>
  </si>
  <si>
    <t>warnings_target_function</t>
  </si>
  <si>
    <t>warnings_target_block</t>
  </si>
  <si>
    <t>dice_score</t>
  </si>
  <si>
    <t>hamming_score</t>
  </si>
  <si>
    <t>jaccard_score</t>
  </si>
  <si>
    <t>overlap_score</t>
  </si>
  <si>
    <t>aflplusplus_bic</t>
  </si>
  <si>
    <t>honggfuzz_bic</t>
  </si>
  <si>
    <t>libfuzzer_bic</t>
  </si>
  <si>
    <t>flawfinder</t>
  </si>
  <si>
    <t>codeql</t>
  </si>
  <si>
    <t>codechecker</t>
  </si>
  <si>
    <t>sast_block</t>
  </si>
  <si>
    <t>sast_function</t>
  </si>
  <si>
    <t>sast_hit_buggy_file</t>
  </si>
  <si>
    <t>sast_hit_buggy_function</t>
  </si>
  <si>
    <t>sast_hit_buggy_block</t>
  </si>
  <si>
    <t>flag_changed_files</t>
  </si>
  <si>
    <t>flag_changed_blocks</t>
  </si>
  <si>
    <t>fuzzinvrev_aflplusplus</t>
  </si>
  <si>
    <t>fuzzinvrev_libfuzzer</t>
  </si>
  <si>
    <t>flag_buggy_files</t>
  </si>
  <si>
    <t>flag_buggy_functions</t>
  </si>
  <si>
    <t>flag_buggy_blocks</t>
  </si>
  <si>
    <t>flag_changed_functions</t>
  </si>
  <si>
    <t>fuzzinvrev_honggfuzz</t>
  </si>
  <si>
    <t>is_buggy_block</t>
  </si>
  <si>
    <t>is_buggy_file</t>
  </si>
  <si>
    <t>is_buggy_function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</si>
</sst>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1"/>
    <xf numFmtId="0" fontId="2" fillId="0" borderId="1" xfId="1" applyBorder="1"/>
    <xf numFmtId="0" fontId="0" fillId="0" borderId="1" xfId="0" applyBorder="1"/>
    <xf numFmtId="0" fontId="2" fillId="0" borderId="0" xfId="1" applyBorder="1"/>
    <xf numFmtId="0" fontId="2" fillId="0" borderId="2" xfId="1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5" fillId="3" borderId="0" xfId="3"/>
    <xf numFmtId="0" fontId="5" fillId="3" borderId="1" xfId="3" applyBorder="1"/>
    <xf numFmtId="0" fontId="5" fillId="3" borderId="2" xfId="3" applyBorder="1"/>
    <xf numFmtId="0" fontId="4" fillId="2" borderId="3" xfId="2" applyBorder="1"/>
    <xf numFmtId="0" fontId="4" fillId="2" borderId="0" xfId="2"/>
    <xf numFmtId="0" fontId="4" fillId="2" borderId="4" xfId="2" applyBorder="1"/>
    <xf numFmtId="0" fontId="4" fillId="2" borderId="1" xfId="2" applyBorder="1"/>
    <xf numFmtId="0" fontId="4" fillId="2" borderId="5" xfId="2" applyBorder="1"/>
    <xf numFmtId="0" fontId="4" fillId="2" borderId="2" xfId="2" applyBorder="1"/>
    <xf numFmtId="0" fontId="5" fillId="3" borderId="3" xfId="3" applyBorder="1"/>
    <xf numFmtId="0" fontId="5" fillId="3" borderId="0" xfId="3" applyBorder="1"/>
    <xf numFmtId="0" fontId="5" fillId="3" borderId="4" xfId="3" applyBorder="1"/>
    <xf numFmtId="0" fontId="5" fillId="3" borderId="5" xfId="3" applyBorder="1"/>
    <xf numFmtId="0" fontId="4" fillId="2" borderId="0" xfId="2" applyBorder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Bad" xfId="2" builtinId="27"/>
    <cellStyle name="Hyperlink" xfId="1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sdevlab/BugOss/tree/master/artifacts/libhtp-17198" TargetMode="External"/><Relationship Id="rId18" Type="http://schemas.openxmlformats.org/officeDocument/2006/relationships/hyperlink" Target="https://github.com/sdevlab/BugOss/tree/master/artifacts/pcapplusplus-23592" TargetMode="External"/><Relationship Id="rId26" Type="http://schemas.openxmlformats.org/officeDocument/2006/relationships/hyperlink" Target="https://github.com/sdevlab/BugOss/tree/master/artifacts/harfbuzz-55779" TargetMode="External"/><Relationship Id="rId39" Type="http://schemas.openxmlformats.org/officeDocument/2006/relationships/hyperlink" Target="https://github.com/sdevlab/BugOss/tree/master/artifacts/ndpi-49057" TargetMode="External"/><Relationship Id="rId21" Type="http://schemas.openxmlformats.org/officeDocument/2006/relationships/hyperlink" Target="https://github.com/sdevlab/BugOss/tree/master/artifacts/usrsctp-18080" TargetMode="External"/><Relationship Id="rId34" Type="http://schemas.openxmlformats.org/officeDocument/2006/relationships/hyperlink" Target="https://github.com/sdevlab/BugOss/tree/master/artifacts/libxml2-17737" TargetMode="External"/><Relationship Id="rId42" Type="http://schemas.openxmlformats.org/officeDocument/2006/relationships/hyperlink" Target="https://github.com/sdevlab/BugOss/tree/master/artifacts/pcapplusplus-23592" TargetMode="External"/><Relationship Id="rId47" Type="http://schemas.openxmlformats.org/officeDocument/2006/relationships/hyperlink" Target="https://github.com/sdevlab/BugOss/tree/master/artifacts/zstd-21970" TargetMode="External"/><Relationship Id="rId7" Type="http://schemas.openxmlformats.org/officeDocument/2006/relationships/hyperlink" Target="https://github.com/sdevlab/BugOss/tree/master/artifacts/curl-8000" TargetMode="External"/><Relationship Id="rId2" Type="http://schemas.openxmlformats.org/officeDocument/2006/relationships/hyperlink" Target="https://github.com/sdevlab/BugOss/tree/master/artifacts/exiv2-50315" TargetMode="External"/><Relationship Id="rId16" Type="http://schemas.openxmlformats.org/officeDocument/2006/relationships/hyperlink" Target="https://github.com/sdevlab/BugOss/tree/master/artifacts/openh264-26220" TargetMode="External"/><Relationship Id="rId29" Type="http://schemas.openxmlformats.org/officeDocument/2006/relationships/hyperlink" Target="https://github.com/sdevlab/BugOss/tree/master/artifacts/libarchive-44843" TargetMode="External"/><Relationship Id="rId11" Type="http://schemas.openxmlformats.org/officeDocument/2006/relationships/hyperlink" Target="https://github.com/sdevlab/BugOss/tree/master/artifacts/leptonica-25212" TargetMode="External"/><Relationship Id="rId24" Type="http://schemas.openxmlformats.org/officeDocument/2006/relationships/hyperlink" Target="https://github.com/sdevlab/BugOss/tree/master/artifacts/harfbuzz-55779" TargetMode="External"/><Relationship Id="rId32" Type="http://schemas.openxmlformats.org/officeDocument/2006/relationships/hyperlink" Target="https://github.com/sdevlab/BugOss/tree/master/artifacts/libarchive-44843" TargetMode="External"/><Relationship Id="rId37" Type="http://schemas.openxmlformats.org/officeDocument/2006/relationships/hyperlink" Target="https://github.com/sdevlab/BugOss/tree/master/artifacts/ndpi-49057" TargetMode="External"/><Relationship Id="rId40" Type="http://schemas.openxmlformats.org/officeDocument/2006/relationships/hyperlink" Target="https://github.com/sdevlab/BugOss/tree/master/artifacts/openssl-17715" TargetMode="External"/><Relationship Id="rId45" Type="http://schemas.openxmlformats.org/officeDocument/2006/relationships/hyperlink" Target="https://github.com/sdevlab/BugOss/tree/master/artifacts/pcapplusplus-23592" TargetMode="External"/><Relationship Id="rId5" Type="http://schemas.openxmlformats.org/officeDocument/2006/relationships/hyperlink" Target="https://github.com/sdevlab/BugOss/tree/master/artifacts/curl-8000" TargetMode="External"/><Relationship Id="rId15" Type="http://schemas.openxmlformats.org/officeDocument/2006/relationships/hyperlink" Target="https://github.com/sdevlab/BugOss/tree/master/artifacts/ndpi-49057" TargetMode="External"/><Relationship Id="rId23" Type="http://schemas.openxmlformats.org/officeDocument/2006/relationships/hyperlink" Target="https://github.com/sdevlab/BugOss/tree/master/artifacts/harfbuzz-55779" TargetMode="External"/><Relationship Id="rId28" Type="http://schemas.openxmlformats.org/officeDocument/2006/relationships/hyperlink" Target="https://github.com/sdevlab/BugOss/tree/master/artifacts/leptonica-25212" TargetMode="External"/><Relationship Id="rId36" Type="http://schemas.openxmlformats.org/officeDocument/2006/relationships/hyperlink" Target="https://github.com/sdevlab/BugOss/tree/master/artifacts/ndpi-49057" TargetMode="External"/><Relationship Id="rId49" Type="http://schemas.openxmlformats.org/officeDocument/2006/relationships/hyperlink" Target="https://github.com/sdevlab/BugOss/tree/master/artifacts/zstd-21970" TargetMode="External"/><Relationship Id="rId10" Type="http://schemas.openxmlformats.org/officeDocument/2006/relationships/hyperlink" Target="https://github.com/sdevlab/BugOss/tree/master/artifacts/harfbuzz-55779" TargetMode="External"/><Relationship Id="rId19" Type="http://schemas.openxmlformats.org/officeDocument/2006/relationships/hyperlink" Target="https://github.com/sdevlab/BugOss/tree/master/artifacts/readstat-13262" TargetMode="External"/><Relationship Id="rId31" Type="http://schemas.openxmlformats.org/officeDocument/2006/relationships/hyperlink" Target="https://github.com/sdevlab/BugOss/tree/master/artifacts/libarchive-44843" TargetMode="External"/><Relationship Id="rId44" Type="http://schemas.openxmlformats.org/officeDocument/2006/relationships/hyperlink" Target="https://github.com/sdevlab/BugOss/tree/master/artifacts/pcapplusplus-23592" TargetMode="External"/><Relationship Id="rId4" Type="http://schemas.openxmlformats.org/officeDocument/2006/relationships/hyperlink" Target="https://github.com/sdevlab/BugOss/tree/master/artifacts/aspell-18462" TargetMode="External"/><Relationship Id="rId9" Type="http://schemas.openxmlformats.org/officeDocument/2006/relationships/hyperlink" Target="https://github.com/sdevlab/BugOss/tree/master/artifacts/grok-28418" TargetMode="External"/><Relationship Id="rId14" Type="http://schemas.openxmlformats.org/officeDocument/2006/relationships/hyperlink" Target="https://github.com/sdevlab/BugOss/tree/master/artifacts/libxml2-17737" TargetMode="External"/><Relationship Id="rId22" Type="http://schemas.openxmlformats.org/officeDocument/2006/relationships/hyperlink" Target="https://github.com/sdevlab/BugOss/tree/master/artifacts/grok-28418" TargetMode="External"/><Relationship Id="rId27" Type="http://schemas.openxmlformats.org/officeDocument/2006/relationships/hyperlink" Target="https://github.com/sdevlab/BugOss/tree/master/artifacts/leptonica-25212" TargetMode="External"/><Relationship Id="rId30" Type="http://schemas.openxmlformats.org/officeDocument/2006/relationships/hyperlink" Target="https://github.com/sdevlab/BugOss/tree/master/artifacts/libarchive-44843" TargetMode="External"/><Relationship Id="rId35" Type="http://schemas.openxmlformats.org/officeDocument/2006/relationships/hyperlink" Target="https://github.com/sdevlab/BugOss/tree/master/artifacts/libxml2-17737" TargetMode="External"/><Relationship Id="rId43" Type="http://schemas.openxmlformats.org/officeDocument/2006/relationships/hyperlink" Target="https://github.com/sdevlab/BugOss/tree/master/artifacts/pcapplusplus-23592" TargetMode="External"/><Relationship Id="rId48" Type="http://schemas.openxmlformats.org/officeDocument/2006/relationships/hyperlink" Target="https://github.com/sdevlab/BugOss/tree/master/artifacts/zstd-21970" TargetMode="External"/><Relationship Id="rId8" Type="http://schemas.openxmlformats.org/officeDocument/2006/relationships/hyperlink" Target="https://github.com/sdevlab/BugOss/tree/master/artifacts/file-30222" TargetMode="External"/><Relationship Id="rId3" Type="http://schemas.openxmlformats.org/officeDocument/2006/relationships/hyperlink" Target="https://github.com/sdevlab/BugOss/tree/master/artifacts/arrow-40653" TargetMode="External"/><Relationship Id="rId12" Type="http://schemas.openxmlformats.org/officeDocument/2006/relationships/hyperlink" Target="https://github.com/sdevlab/BugOss/tree/master/artifacts/libarchive-44843" TargetMode="External"/><Relationship Id="rId17" Type="http://schemas.openxmlformats.org/officeDocument/2006/relationships/hyperlink" Target="https://github.com/sdevlab/BugOss/tree/master/artifacts/openssl-17715" TargetMode="External"/><Relationship Id="rId25" Type="http://schemas.openxmlformats.org/officeDocument/2006/relationships/hyperlink" Target="https://github.com/sdevlab/BugOss/tree/master/artifacts/harfbuzz-55779" TargetMode="External"/><Relationship Id="rId33" Type="http://schemas.openxmlformats.org/officeDocument/2006/relationships/hyperlink" Target="https://github.com/sdevlab/BugOss/tree/master/artifacts/libhtp-17198" TargetMode="External"/><Relationship Id="rId38" Type="http://schemas.openxmlformats.org/officeDocument/2006/relationships/hyperlink" Target="https://github.com/sdevlab/BugOss/tree/master/artifacts/ndpi-49057" TargetMode="External"/><Relationship Id="rId46" Type="http://schemas.openxmlformats.org/officeDocument/2006/relationships/hyperlink" Target="https://github.com/sdevlab/BugOss/tree/master/artifacts/zstd-21970" TargetMode="External"/><Relationship Id="rId20" Type="http://schemas.openxmlformats.org/officeDocument/2006/relationships/hyperlink" Target="https://github.com/sdevlab/BugOss/tree/master/artifacts/zstd-21970" TargetMode="External"/><Relationship Id="rId41" Type="http://schemas.openxmlformats.org/officeDocument/2006/relationships/hyperlink" Target="https://github.com/sdevlab/BugOss/tree/master/artifacts/pcapplusplus-23592" TargetMode="External"/><Relationship Id="rId1" Type="http://schemas.openxmlformats.org/officeDocument/2006/relationships/hyperlink" Target="https://github.com/sdevlab/BugOss/tree/master/artifacts/exiv2-50315" TargetMode="External"/><Relationship Id="rId6" Type="http://schemas.openxmlformats.org/officeDocument/2006/relationships/hyperlink" Target="https://github.com/sdevlab/BugOss/tree/master/artifacts/arrow-406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1B527-95F1-EF4E-97A8-9CD06C92371E}">
  <sheetPr codeName="Sheet3"/>
  <dimension ref="A1:BM58"/>
  <sheetViews>
    <sheetView tabSelected="1" zoomScaleNormal="100" workbookViewId="0">
      <pane xSplit="8" ySplit="2" topLeftCell="BK3" activePane="bottomRight" state="frozen"/>
      <selection pane="topRight" activeCell="E1" sqref="E1"/>
      <selection pane="bottomLeft" activeCell="A3" sqref="A3"/>
      <selection pane="bottomRight" activeCell="BU80" sqref="BU80"/>
    </sheetView>
  </sheetViews>
  <sheetFormatPr baseColWidth="10" defaultRowHeight="16" x14ac:dyDescent="0.2"/>
  <cols>
    <col min="1" max="1" width="17.6640625" bestFit="1" customWidth="1"/>
    <col min="2" max="2" width="15" bestFit="1" customWidth="1"/>
    <col min="3" max="3" width="12.6640625" bestFit="1" customWidth="1"/>
    <col min="4" max="4" width="13.5" bestFit="1" customWidth="1"/>
    <col min="5" max="5" width="12.83203125" bestFit="1" customWidth="1"/>
    <col min="6" max="6" width="15.5" bestFit="1" customWidth="1"/>
    <col min="7" max="7" width="20" bestFit="1" customWidth="1"/>
    <col min="8" max="8" width="17.33203125" bestFit="1" customWidth="1"/>
    <col min="9" max="9" width="12.6640625" hidden="1" customWidth="1"/>
    <col min="10" max="10" width="17" hidden="1" customWidth="1"/>
    <col min="11" max="11" width="15.33203125" hidden="1" customWidth="1"/>
    <col min="12" max="12" width="15.1640625" hidden="1" customWidth="1"/>
    <col min="13" max="13" width="12.6640625" hidden="1" customWidth="1"/>
    <col min="14" max="14" width="17" hidden="1" customWidth="1"/>
    <col min="15" max="15" width="15.33203125" hidden="1" customWidth="1"/>
    <col min="16" max="16" width="15.1640625" hidden="1" customWidth="1"/>
    <col min="17" max="17" width="12.6640625" hidden="1" customWidth="1"/>
    <col min="18" max="18" width="17" hidden="1" customWidth="1"/>
    <col min="19" max="19" width="15.33203125" hidden="1" customWidth="1"/>
    <col min="20" max="20" width="15.1640625" hidden="1" customWidth="1"/>
    <col min="21" max="21" width="20.6640625" style="9" hidden="1" customWidth="1"/>
    <col min="22" max="22" width="25" hidden="1" customWidth="1"/>
    <col min="23" max="23" width="22.5" hidden="1" customWidth="1"/>
    <col min="24" max="24" width="13.1640625" style="12" bestFit="1" customWidth="1"/>
    <col min="25" max="25" width="17.33203125" style="12" bestFit="1" customWidth="1"/>
    <col min="26" max="26" width="15" style="12" bestFit="1" customWidth="1"/>
    <col min="27" max="27" width="19.6640625" style="15" bestFit="1" customWidth="1"/>
    <col min="28" max="28" width="24" style="16" bestFit="1" customWidth="1"/>
    <col min="29" max="29" width="21.5" style="16" bestFit="1" customWidth="1"/>
    <col min="30" max="30" width="20.6640625" style="9" hidden="1" customWidth="1"/>
    <col min="31" max="31" width="25" hidden="1" customWidth="1"/>
    <col min="32" max="32" width="22.5" hidden="1" customWidth="1"/>
    <col min="33" max="33" width="13.1640625" style="12" bestFit="1" customWidth="1"/>
    <col min="34" max="34" width="17.33203125" style="12" bestFit="1" customWidth="1"/>
    <col min="35" max="35" width="15" style="12" bestFit="1" customWidth="1"/>
    <col min="36" max="36" width="19.6640625" style="15" bestFit="1" customWidth="1"/>
    <col min="37" max="37" width="24" style="16" bestFit="1" customWidth="1"/>
    <col min="38" max="38" width="21.5" style="16" bestFit="1" customWidth="1"/>
    <col min="39" max="39" width="20.6640625" style="9" hidden="1" customWidth="1"/>
    <col min="40" max="40" width="25" hidden="1" customWidth="1"/>
    <col min="41" max="41" width="22.5" hidden="1" customWidth="1"/>
    <col min="42" max="42" width="13.1640625" style="12" bestFit="1" customWidth="1"/>
    <col min="43" max="43" width="17.33203125" style="12" bestFit="1" customWidth="1"/>
    <col min="44" max="44" width="15" style="12" bestFit="1" customWidth="1"/>
    <col min="45" max="45" width="19.6640625" style="15" bestFit="1" customWidth="1"/>
    <col min="46" max="46" width="24" style="16" bestFit="1" customWidth="1"/>
    <col min="47" max="47" width="21.5" style="16" bestFit="1" customWidth="1"/>
    <col min="48" max="48" width="16.83203125" style="21" bestFit="1" customWidth="1"/>
    <col min="49" max="49" width="21.5" style="12" bestFit="1" customWidth="1"/>
    <col min="50" max="50" width="18.83203125" style="12" bestFit="1" customWidth="1"/>
    <col min="51" max="51" width="14.6640625" style="15" bestFit="1" customWidth="1"/>
    <col min="52" max="52" width="19.33203125" style="16" bestFit="1" customWidth="1"/>
    <col min="53" max="53" width="16.5" style="16" bestFit="1" customWidth="1"/>
    <col min="54" max="54" width="16.83203125" style="21" bestFit="1" customWidth="1"/>
    <col min="55" max="55" width="21.5" style="12" bestFit="1" customWidth="1"/>
    <col min="56" max="56" width="18.83203125" style="12" bestFit="1" customWidth="1"/>
    <col min="57" max="57" width="14.6640625" style="15" bestFit="1" customWidth="1"/>
    <col min="58" max="58" width="19.33203125" style="16" bestFit="1" customWidth="1"/>
    <col min="59" max="59" width="16.5" style="16" bestFit="1" customWidth="1"/>
    <col min="60" max="60" width="16.83203125" style="21" bestFit="1" customWidth="1"/>
    <col min="61" max="61" width="21.5" style="12" bestFit="1" customWidth="1"/>
    <col min="62" max="62" width="18.83203125" style="12" bestFit="1" customWidth="1"/>
    <col min="63" max="63" width="14.6640625" style="15" bestFit="1" customWidth="1"/>
    <col min="64" max="64" width="19.33203125" style="16" bestFit="1" customWidth="1"/>
    <col min="65" max="65" width="16.5" style="16" bestFit="1" customWidth="1"/>
  </cols>
  <sheetData>
    <row r="1" spans="1:65" x14ac:dyDescent="0.2">
      <c r="I1" s="27" t="s">
        <v>32</v>
      </c>
      <c r="J1" s="27"/>
      <c r="K1" s="27"/>
      <c r="L1" s="27"/>
      <c r="M1" s="27" t="s">
        <v>33</v>
      </c>
      <c r="N1" s="27"/>
      <c r="O1" s="27"/>
      <c r="P1" s="27"/>
      <c r="Q1" s="27" t="s">
        <v>34</v>
      </c>
      <c r="R1" s="27"/>
      <c r="S1" s="27"/>
      <c r="T1" s="27"/>
      <c r="U1" s="27" t="s">
        <v>37</v>
      </c>
      <c r="V1" s="27"/>
      <c r="W1" s="27"/>
      <c r="X1" s="27"/>
      <c r="Y1" s="27"/>
      <c r="Z1" s="27"/>
      <c r="AA1" s="27"/>
      <c r="AB1" s="27"/>
      <c r="AC1" s="27"/>
      <c r="AD1" s="27" t="s">
        <v>36</v>
      </c>
      <c r="AE1" s="27"/>
      <c r="AF1" s="27"/>
      <c r="AG1" s="27"/>
      <c r="AH1" s="27"/>
      <c r="AI1" s="27"/>
      <c r="AJ1" s="27"/>
      <c r="AK1" s="27"/>
      <c r="AL1" s="27"/>
      <c r="AM1" s="27" t="s">
        <v>35</v>
      </c>
      <c r="AN1" s="27"/>
      <c r="AO1" s="27"/>
      <c r="AP1" s="27"/>
      <c r="AQ1" s="27"/>
      <c r="AR1" s="27"/>
      <c r="AS1" s="27"/>
      <c r="AT1" s="27"/>
      <c r="AU1" s="27"/>
      <c r="AV1" s="26" t="s">
        <v>45</v>
      </c>
      <c r="AW1" s="27"/>
      <c r="AX1" s="27"/>
      <c r="AY1" s="27"/>
      <c r="AZ1" s="27"/>
      <c r="BA1" s="27"/>
      <c r="BB1" s="26" t="s">
        <v>51</v>
      </c>
      <c r="BC1" s="27"/>
      <c r="BD1" s="27"/>
      <c r="BE1" s="27"/>
      <c r="BF1" s="27"/>
      <c r="BG1" s="27"/>
      <c r="BH1" s="26" t="s">
        <v>46</v>
      </c>
      <c r="BI1" s="27"/>
      <c r="BJ1" s="27"/>
      <c r="BK1" s="27"/>
      <c r="BL1" s="27"/>
      <c r="BM1" s="27"/>
    </row>
    <row r="2" spans="1:65" x14ac:dyDescent="0.2">
      <c r="A2" s="1" t="s">
        <v>1</v>
      </c>
      <c r="B2" s="1" t="s">
        <v>39</v>
      </c>
      <c r="C2" s="1" t="s">
        <v>38</v>
      </c>
      <c r="D2" s="1" t="s">
        <v>21</v>
      </c>
      <c r="E2" s="1" t="s">
        <v>0</v>
      </c>
      <c r="F2" s="1" t="s">
        <v>53</v>
      </c>
      <c r="G2" s="1" t="s">
        <v>54</v>
      </c>
      <c r="H2" s="1" t="s">
        <v>52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28</v>
      </c>
      <c r="R2" s="1" t="s">
        <v>29</v>
      </c>
      <c r="S2" s="1" t="s">
        <v>30</v>
      </c>
      <c r="T2" s="1" t="s">
        <v>31</v>
      </c>
      <c r="U2" s="8" t="s">
        <v>25</v>
      </c>
      <c r="V2" s="1" t="s">
        <v>26</v>
      </c>
      <c r="W2" s="1" t="s">
        <v>27</v>
      </c>
      <c r="X2" s="12" t="s">
        <v>22</v>
      </c>
      <c r="Y2" s="12" t="s">
        <v>23</v>
      </c>
      <c r="Z2" s="12" t="s">
        <v>24</v>
      </c>
      <c r="AA2" s="15" t="s">
        <v>40</v>
      </c>
      <c r="AB2" s="16" t="s">
        <v>41</v>
      </c>
      <c r="AC2" s="16" t="s">
        <v>42</v>
      </c>
      <c r="AD2" s="8" t="s">
        <v>25</v>
      </c>
      <c r="AE2" s="1" t="s">
        <v>26</v>
      </c>
      <c r="AF2" s="1" t="s">
        <v>27</v>
      </c>
      <c r="AG2" s="12" t="s">
        <v>22</v>
      </c>
      <c r="AH2" s="12" t="s">
        <v>23</v>
      </c>
      <c r="AI2" s="12" t="s">
        <v>24</v>
      </c>
      <c r="AJ2" s="15" t="s">
        <v>40</v>
      </c>
      <c r="AK2" s="16" t="s">
        <v>41</v>
      </c>
      <c r="AL2" s="16" t="s">
        <v>42</v>
      </c>
      <c r="AM2" s="8" t="s">
        <v>25</v>
      </c>
      <c r="AN2" s="1" t="s">
        <v>26</v>
      </c>
      <c r="AO2" s="1" t="s">
        <v>27</v>
      </c>
      <c r="AP2" s="12" t="s">
        <v>22</v>
      </c>
      <c r="AQ2" s="12" t="s">
        <v>23</v>
      </c>
      <c r="AR2" s="12" t="s">
        <v>24</v>
      </c>
      <c r="AS2" s="15" t="s">
        <v>40</v>
      </c>
      <c r="AT2" s="16" t="s">
        <v>41</v>
      </c>
      <c r="AU2" s="16" t="s">
        <v>42</v>
      </c>
      <c r="AV2" s="21" t="s">
        <v>43</v>
      </c>
      <c r="AW2" s="22" t="s">
        <v>50</v>
      </c>
      <c r="AX2" s="22" t="s">
        <v>44</v>
      </c>
      <c r="AY2" s="15" t="s">
        <v>47</v>
      </c>
      <c r="AZ2" s="25" t="s">
        <v>48</v>
      </c>
      <c r="BA2" s="25" t="s">
        <v>49</v>
      </c>
      <c r="BB2" s="21" t="s">
        <v>43</v>
      </c>
      <c r="BC2" s="22" t="s">
        <v>50</v>
      </c>
      <c r="BD2" s="22" t="s">
        <v>44</v>
      </c>
      <c r="BE2" s="15" t="s">
        <v>47</v>
      </c>
      <c r="BF2" s="25" t="s">
        <v>48</v>
      </c>
      <c r="BG2" s="25" t="s">
        <v>49</v>
      </c>
      <c r="BH2" s="21" t="s">
        <v>43</v>
      </c>
      <c r="BI2" s="22" t="s">
        <v>50</v>
      </c>
      <c r="BJ2" s="22" t="s">
        <v>44</v>
      </c>
      <c r="BK2" s="15" t="s">
        <v>47</v>
      </c>
      <c r="BL2" s="25" t="s">
        <v>48</v>
      </c>
      <c r="BM2" s="25" t="s">
        <v>49</v>
      </c>
    </row>
    <row r="3" spans="1:65" x14ac:dyDescent="0.2">
      <c r="A3" s="5" t="s">
        <v>3</v>
      </c>
      <c r="B3" t="b">
        <f t="shared" ref="B3:C10" si="0">OR(Y3,AH3,AQ3)</f>
        <v>0</v>
      </c>
      <c r="C3" t="b">
        <f t="shared" si="0"/>
        <v>0</v>
      </c>
      <c r="D3" t="b">
        <f t="shared" ref="D3:D34" si="1">COUNTIF($A$3:$A$58,A3)&gt;1</f>
        <v>1</v>
      </c>
      <c r="E3">
        <v>0</v>
      </c>
      <c r="F3" t="b">
        <v>1</v>
      </c>
      <c r="G3" t="b">
        <v>1</v>
      </c>
      <c r="H3" t="b">
        <v>1</v>
      </c>
      <c r="I3" t="s">
        <v>20</v>
      </c>
      <c r="J3" t="s">
        <v>20</v>
      </c>
      <c r="K3" t="s">
        <v>20</v>
      </c>
      <c r="L3" t="s">
        <v>20</v>
      </c>
      <c r="U3" s="9">
        <v>0</v>
      </c>
      <c r="V3">
        <v>0</v>
      </c>
      <c r="W3">
        <v>0</v>
      </c>
      <c r="X3" s="12" t="b">
        <f t="shared" ref="X3:Z5" si="2">IF(U3&gt;0, TRUE,FALSE)</f>
        <v>0</v>
      </c>
      <c r="Y3" s="12" t="b">
        <f t="shared" si="2"/>
        <v>0</v>
      </c>
      <c r="Z3" s="12" t="b">
        <f t="shared" si="2"/>
        <v>0</v>
      </c>
      <c r="AA3" s="15" t="b">
        <f>AND(F3,X3)</f>
        <v>0</v>
      </c>
      <c r="AB3" s="16" t="b">
        <f>AND(G3,Y3)</f>
        <v>0</v>
      </c>
      <c r="AC3" s="16" t="b">
        <f>AND(H3,Z3)</f>
        <v>0</v>
      </c>
      <c r="AD3" s="9">
        <v>0</v>
      </c>
      <c r="AE3">
        <v>0</v>
      </c>
      <c r="AF3">
        <v>0</v>
      </c>
      <c r="AG3" s="12" t="b">
        <f>IF(AD3&gt;0, TRUE,FALSE)</f>
        <v>0</v>
      </c>
      <c r="AH3" s="12" t="b">
        <f t="shared" ref="AH3:AH10" si="3">IF(AE3&gt;0, TRUE,FALSE)</f>
        <v>0</v>
      </c>
      <c r="AI3" s="12" t="b">
        <f t="shared" ref="AI3:AI10" si="4">IF(AF3&gt;0, TRUE,FALSE)</f>
        <v>0</v>
      </c>
      <c r="AJ3" s="15" t="b">
        <f>AND(F3,AG3)</f>
        <v>0</v>
      </c>
      <c r="AK3" s="16" t="b">
        <f>AND(G3,AH3)</f>
        <v>0</v>
      </c>
      <c r="AL3" s="16" t="b">
        <f>AND(H3,AI3)</f>
        <v>0</v>
      </c>
      <c r="AM3" s="9">
        <v>1</v>
      </c>
      <c r="AN3">
        <v>0</v>
      </c>
      <c r="AO3">
        <v>0</v>
      </c>
      <c r="AP3" s="12" t="b">
        <f>IF(AM3&gt;0, TRUE,FALSE)</f>
        <v>1</v>
      </c>
      <c r="AQ3" s="12" t="b">
        <f t="shared" ref="AQ3:AQ10" si="5">IF(AN3&gt;0, TRUE,FALSE)</f>
        <v>0</v>
      </c>
      <c r="AR3" s="12" t="b">
        <f t="shared" ref="AR3:AR10" si="6">IF(AO3&gt;0, TRUE,FALSE)</f>
        <v>0</v>
      </c>
      <c r="AS3" s="15" t="b">
        <f>AND(F3,AP3)</f>
        <v>1</v>
      </c>
      <c r="AT3" s="16" t="b">
        <f>AND(G3,AQ3)</f>
        <v>0</v>
      </c>
      <c r="AU3" s="16" t="b">
        <f>AND(H3,AR3)</f>
        <v>0</v>
      </c>
      <c r="AV3" s="21" t="b">
        <v>0</v>
      </c>
      <c r="AW3" s="12" t="b">
        <v>0</v>
      </c>
      <c r="AX3" s="12" t="b">
        <v>0</v>
      </c>
      <c r="AY3" s="15" t="b">
        <f>AND(F3,AV3)</f>
        <v>0</v>
      </c>
      <c r="AZ3" s="16" t="b">
        <f>AND(G3,AW3)</f>
        <v>0</v>
      </c>
      <c r="BA3" s="16" t="b">
        <f>AND(H3,AX3)</f>
        <v>0</v>
      </c>
      <c r="BB3" s="21" t="b">
        <v>0</v>
      </c>
      <c r="BC3" s="12" t="b">
        <v>0</v>
      </c>
      <c r="BD3" s="12" t="b">
        <v>0</v>
      </c>
      <c r="BE3" s="15" t="b">
        <f>AND(F3,BB3)</f>
        <v>0</v>
      </c>
      <c r="BF3" s="16" t="b">
        <f>AND(G3,BC3)</f>
        <v>0</v>
      </c>
      <c r="BG3" s="16" t="b">
        <f>AND(H3,BD3)</f>
        <v>0</v>
      </c>
      <c r="BH3" s="21" t="b">
        <v>0</v>
      </c>
      <c r="BI3" s="12" t="b">
        <v>0</v>
      </c>
      <c r="BJ3" s="12" t="b">
        <v>0</v>
      </c>
      <c r="BK3" s="15" t="b">
        <f>AND(F3,BH3)</f>
        <v>0</v>
      </c>
      <c r="BL3" s="16" t="b">
        <f>AND(G3,BI3)</f>
        <v>0</v>
      </c>
      <c r="BM3" s="16" t="b">
        <f>AND(H3,BJ3)</f>
        <v>0</v>
      </c>
    </row>
    <row r="4" spans="1:65" s="4" customFormat="1" x14ac:dyDescent="0.2">
      <c r="A4" s="3" t="s">
        <v>3</v>
      </c>
      <c r="B4" s="4" t="b">
        <f t="shared" si="0"/>
        <v>0</v>
      </c>
      <c r="C4" s="4" t="b">
        <f t="shared" si="0"/>
        <v>0</v>
      </c>
      <c r="D4" s="4" t="b">
        <f t="shared" si="1"/>
        <v>1</v>
      </c>
      <c r="E4" s="4">
        <v>1</v>
      </c>
      <c r="F4" s="4" t="b">
        <v>1</v>
      </c>
      <c r="G4" s="4" t="b">
        <v>1</v>
      </c>
      <c r="H4" s="4" t="b">
        <v>1</v>
      </c>
      <c r="I4" s="4">
        <v>0.41261747626707201</v>
      </c>
      <c r="J4" s="4">
        <v>0.97606155055778798</v>
      </c>
      <c r="K4" s="4">
        <v>0.54791462326465501</v>
      </c>
      <c r="L4" s="4">
        <v>0.38926737914339299</v>
      </c>
      <c r="U4" s="10">
        <v>0</v>
      </c>
      <c r="V4" s="4">
        <v>0</v>
      </c>
      <c r="W4" s="4">
        <v>0</v>
      </c>
      <c r="X4" s="13" t="b">
        <f t="shared" si="2"/>
        <v>0</v>
      </c>
      <c r="Y4" s="13" t="b">
        <f t="shared" si="2"/>
        <v>0</v>
      </c>
      <c r="Z4" s="13" t="b">
        <f t="shared" si="2"/>
        <v>0</v>
      </c>
      <c r="AA4" s="17" t="b">
        <f t="shared" ref="AA4:AA58" si="7">AND(F4,X4)</f>
        <v>0</v>
      </c>
      <c r="AB4" s="18" t="b">
        <f t="shared" ref="AB4:AB58" si="8">AND(G4,Y4)</f>
        <v>0</v>
      </c>
      <c r="AC4" s="18" t="b">
        <f t="shared" ref="AC4:AC58" si="9">AND(H4,Z4)</f>
        <v>0</v>
      </c>
      <c r="AD4" s="10">
        <v>0</v>
      </c>
      <c r="AE4" s="4">
        <v>0</v>
      </c>
      <c r="AF4" s="4">
        <v>0</v>
      </c>
      <c r="AG4" s="13" t="b">
        <f t="shared" ref="AG4:AG10" si="10">IF(AD4&gt;0, TRUE,FALSE)</f>
        <v>0</v>
      </c>
      <c r="AH4" s="13" t="b">
        <f t="shared" si="3"/>
        <v>0</v>
      </c>
      <c r="AI4" s="13" t="b">
        <f t="shared" si="4"/>
        <v>0</v>
      </c>
      <c r="AJ4" s="17" t="b">
        <f t="shared" ref="AJ4:AJ58" si="11">AND(F4,AG4)</f>
        <v>0</v>
      </c>
      <c r="AK4" s="18" t="b">
        <f t="shared" ref="AK4:AK58" si="12">AND(G4,AH4)</f>
        <v>0</v>
      </c>
      <c r="AL4" s="18" t="b">
        <f t="shared" ref="AL4:AL58" si="13">AND(H4,AI4)</f>
        <v>0</v>
      </c>
      <c r="AM4" s="10">
        <v>1</v>
      </c>
      <c r="AN4" s="4">
        <v>0</v>
      </c>
      <c r="AO4" s="4">
        <v>0</v>
      </c>
      <c r="AP4" s="13" t="b">
        <f t="shared" ref="AP4:AP10" si="14">IF(AM4&gt;0, TRUE,FALSE)</f>
        <v>1</v>
      </c>
      <c r="AQ4" s="13" t="b">
        <f t="shared" si="5"/>
        <v>0</v>
      </c>
      <c r="AR4" s="13" t="b">
        <f t="shared" si="6"/>
        <v>0</v>
      </c>
      <c r="AS4" s="17" t="b">
        <f t="shared" ref="AS4:AS58" si="15">AND(F4,AP4)</f>
        <v>1</v>
      </c>
      <c r="AT4" s="18" t="b">
        <f t="shared" ref="AT4:AT58" si="16">AND(G4,AQ4)</f>
        <v>0</v>
      </c>
      <c r="AU4" s="18" t="b">
        <f t="shared" ref="AU4:AU58" si="17">AND(H4,AR4)</f>
        <v>0</v>
      </c>
      <c r="AV4" s="23" t="b">
        <v>0</v>
      </c>
      <c r="AW4" s="13" t="b">
        <v>0</v>
      </c>
      <c r="AX4" s="13" t="b">
        <v>0</v>
      </c>
      <c r="AY4" s="15" t="b">
        <f t="shared" ref="AY4:AY58" si="18">AND(F4,AV4)</f>
        <v>0</v>
      </c>
      <c r="AZ4" s="16" t="b">
        <f t="shared" ref="AZ4:AZ58" si="19">AND(G4,AW4)</f>
        <v>0</v>
      </c>
      <c r="BA4" s="16" t="b">
        <f t="shared" ref="BA4:BA58" si="20">AND(H4,AX4)</f>
        <v>0</v>
      </c>
      <c r="BB4" s="23" t="b">
        <v>0</v>
      </c>
      <c r="BC4" s="13" t="b">
        <v>0</v>
      </c>
      <c r="BD4" s="13" t="b">
        <v>0</v>
      </c>
      <c r="BE4" s="17" t="b">
        <f t="shared" ref="BE4:BE58" si="21">AND(F4,BB4)</f>
        <v>0</v>
      </c>
      <c r="BF4" s="18" t="b">
        <f t="shared" ref="BF4:BF58" si="22">AND(G4,BC4)</f>
        <v>0</v>
      </c>
      <c r="BG4" s="18" t="b">
        <f t="shared" ref="BG4:BG58" si="23">AND(H4,BD4)</f>
        <v>0</v>
      </c>
      <c r="BH4" s="23" t="b">
        <v>0</v>
      </c>
      <c r="BI4" s="13" t="b">
        <v>0</v>
      </c>
      <c r="BJ4" s="13" t="b">
        <v>0</v>
      </c>
      <c r="BK4" s="17" t="b">
        <f t="shared" ref="BK4:BK58" si="24">AND(F4,BH4)</f>
        <v>0</v>
      </c>
      <c r="BL4" s="18" t="b">
        <f t="shared" ref="BL4:BL58" si="25">AND(G4,BI4)</f>
        <v>0</v>
      </c>
      <c r="BM4" s="18" t="b">
        <f t="shared" ref="BM4:BM58" si="26">AND(H4,BJ4)</f>
        <v>0</v>
      </c>
    </row>
    <row r="5" spans="1:65" s="7" customFormat="1" x14ac:dyDescent="0.2">
      <c r="A5" s="6" t="s">
        <v>4</v>
      </c>
      <c r="B5" s="7" t="b">
        <f t="shared" si="0"/>
        <v>1</v>
      </c>
      <c r="C5" s="7" t="b">
        <f t="shared" si="0"/>
        <v>0</v>
      </c>
      <c r="D5" s="7" t="b">
        <f t="shared" si="1"/>
        <v>0</v>
      </c>
      <c r="E5" s="7">
        <v>0</v>
      </c>
      <c r="F5" s="7" t="b">
        <v>1</v>
      </c>
      <c r="G5" s="7" t="b">
        <v>1</v>
      </c>
      <c r="H5" s="7" t="b">
        <v>1</v>
      </c>
      <c r="I5" s="7">
        <v>0.63679253517807899</v>
      </c>
      <c r="J5" s="7">
        <v>0.97685206997393004</v>
      </c>
      <c r="K5" s="7">
        <v>0.77466097000497902</v>
      </c>
      <c r="L5" s="7">
        <v>0.54791409363653898</v>
      </c>
      <c r="M5" s="7">
        <v>0.61855300495490795</v>
      </c>
      <c r="N5" s="7">
        <v>0.97460502073672195</v>
      </c>
      <c r="O5" s="7">
        <v>0.76094200029780801</v>
      </c>
      <c r="P5" s="7">
        <v>0.54044810151809197</v>
      </c>
      <c r="U5" s="11">
        <v>2</v>
      </c>
      <c r="V5" s="7">
        <v>0</v>
      </c>
      <c r="W5" s="7">
        <v>0</v>
      </c>
      <c r="X5" s="14" t="b">
        <f t="shared" si="2"/>
        <v>1</v>
      </c>
      <c r="Y5" s="14" t="b">
        <f t="shared" si="2"/>
        <v>0</v>
      </c>
      <c r="Z5" s="14" t="b">
        <f t="shared" si="2"/>
        <v>0</v>
      </c>
      <c r="AA5" s="19" t="b">
        <f t="shared" si="7"/>
        <v>1</v>
      </c>
      <c r="AB5" s="20" t="b">
        <f t="shared" si="8"/>
        <v>0</v>
      </c>
      <c r="AC5" s="20" t="b">
        <f t="shared" si="9"/>
        <v>0</v>
      </c>
      <c r="AD5" s="11">
        <v>10</v>
      </c>
      <c r="AE5" s="7">
        <v>2</v>
      </c>
      <c r="AF5" s="7">
        <v>0</v>
      </c>
      <c r="AG5" s="14" t="b">
        <f t="shared" si="10"/>
        <v>1</v>
      </c>
      <c r="AH5" s="14" t="b">
        <f t="shared" si="3"/>
        <v>1</v>
      </c>
      <c r="AI5" s="14" t="b">
        <f t="shared" si="4"/>
        <v>0</v>
      </c>
      <c r="AJ5" s="19" t="b">
        <f t="shared" si="11"/>
        <v>1</v>
      </c>
      <c r="AK5" s="20" t="b">
        <f t="shared" si="12"/>
        <v>1</v>
      </c>
      <c r="AL5" s="20" t="b">
        <f t="shared" si="13"/>
        <v>0</v>
      </c>
      <c r="AM5" s="11">
        <v>21</v>
      </c>
      <c r="AN5" s="7">
        <v>0</v>
      </c>
      <c r="AO5" s="7">
        <v>0</v>
      </c>
      <c r="AP5" s="14" t="b">
        <f t="shared" si="14"/>
        <v>1</v>
      </c>
      <c r="AQ5" s="14" t="b">
        <f t="shared" si="5"/>
        <v>0</v>
      </c>
      <c r="AR5" s="14" t="b">
        <f t="shared" si="6"/>
        <v>0</v>
      </c>
      <c r="AS5" s="19" t="b">
        <f t="shared" si="15"/>
        <v>1</v>
      </c>
      <c r="AT5" s="20" t="b">
        <f t="shared" si="16"/>
        <v>0</v>
      </c>
      <c r="AU5" s="20" t="b">
        <f t="shared" si="17"/>
        <v>0</v>
      </c>
      <c r="AV5" s="24" t="b">
        <v>1</v>
      </c>
      <c r="AW5" s="14" t="b">
        <v>1</v>
      </c>
      <c r="AX5" s="14" t="b">
        <v>1</v>
      </c>
      <c r="AY5" s="19" t="b">
        <f t="shared" si="18"/>
        <v>1</v>
      </c>
      <c r="AZ5" s="20" t="b">
        <f t="shared" si="19"/>
        <v>1</v>
      </c>
      <c r="BA5" s="20" t="b">
        <f t="shared" si="20"/>
        <v>1</v>
      </c>
      <c r="BB5" s="24" t="b">
        <v>1</v>
      </c>
      <c r="BC5" s="14" t="b">
        <v>1</v>
      </c>
      <c r="BD5" s="14" t="b">
        <v>1</v>
      </c>
      <c r="BE5" s="19" t="b">
        <f t="shared" si="21"/>
        <v>1</v>
      </c>
      <c r="BF5" s="20" t="b">
        <f t="shared" si="22"/>
        <v>1</v>
      </c>
      <c r="BG5" s="20" t="b">
        <f t="shared" si="23"/>
        <v>1</v>
      </c>
      <c r="BH5" s="24" t="b">
        <v>0</v>
      </c>
      <c r="BI5" s="14" t="b">
        <v>0</v>
      </c>
      <c r="BJ5" s="14" t="b">
        <v>0</v>
      </c>
      <c r="BK5" s="19" t="b">
        <f t="shared" si="24"/>
        <v>0</v>
      </c>
      <c r="BL5" s="20" t="b">
        <f t="shared" si="25"/>
        <v>0</v>
      </c>
      <c r="BM5" s="20" t="b">
        <f t="shared" si="26"/>
        <v>0</v>
      </c>
    </row>
    <row r="6" spans="1:65" x14ac:dyDescent="0.2">
      <c r="A6" s="2" t="s">
        <v>5</v>
      </c>
      <c r="B6" t="b">
        <f t="shared" si="0"/>
        <v>1</v>
      </c>
      <c r="C6" t="b">
        <f t="shared" si="0"/>
        <v>1</v>
      </c>
      <c r="D6" t="b">
        <f t="shared" si="1"/>
        <v>1</v>
      </c>
      <c r="E6">
        <v>0</v>
      </c>
      <c r="F6" t="b">
        <v>0</v>
      </c>
      <c r="G6" t="b">
        <v>0</v>
      </c>
      <c r="H6" t="b">
        <v>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U6" s="9">
        <v>0</v>
      </c>
      <c r="V6">
        <v>0</v>
      </c>
      <c r="W6">
        <v>0</v>
      </c>
      <c r="X6" s="12" t="b">
        <f t="shared" ref="X6:X58" si="27">IF(U6&gt;0, TRUE,FALSE)</f>
        <v>0</v>
      </c>
      <c r="Y6" s="12" t="b">
        <f t="shared" ref="Y6:Y58" si="28">IF(V6&gt;0, TRUE,FALSE)</f>
        <v>0</v>
      </c>
      <c r="Z6" s="12" t="b">
        <f t="shared" ref="Z6:Z58" si="29">IF(W6&gt;0, TRUE,FALSE)</f>
        <v>0</v>
      </c>
      <c r="AA6" s="15" t="b">
        <f t="shared" si="7"/>
        <v>0</v>
      </c>
      <c r="AB6" s="16" t="b">
        <f t="shared" si="8"/>
        <v>0</v>
      </c>
      <c r="AC6" s="16" t="b">
        <f t="shared" si="9"/>
        <v>0</v>
      </c>
      <c r="AD6" s="9">
        <v>1</v>
      </c>
      <c r="AE6">
        <v>1</v>
      </c>
      <c r="AF6">
        <v>1</v>
      </c>
      <c r="AG6" s="12" t="b">
        <f t="shared" si="10"/>
        <v>1</v>
      </c>
      <c r="AH6" s="12" t="b">
        <f>IF(AE6&gt;0, TRUE,FALSE)</f>
        <v>1</v>
      </c>
      <c r="AI6" s="12" t="b">
        <f t="shared" si="4"/>
        <v>1</v>
      </c>
      <c r="AJ6" s="15" t="b">
        <f t="shared" si="11"/>
        <v>0</v>
      </c>
      <c r="AK6" s="16" t="b">
        <f t="shared" si="12"/>
        <v>0</v>
      </c>
      <c r="AL6" s="16" t="b">
        <f t="shared" si="13"/>
        <v>0</v>
      </c>
      <c r="AM6" s="9">
        <v>0</v>
      </c>
      <c r="AN6">
        <v>0</v>
      </c>
      <c r="AO6">
        <v>0</v>
      </c>
      <c r="AP6" s="12" t="b">
        <f t="shared" si="14"/>
        <v>0</v>
      </c>
      <c r="AQ6" s="12" t="b">
        <f t="shared" si="5"/>
        <v>0</v>
      </c>
      <c r="AR6" s="12" t="b">
        <f t="shared" si="6"/>
        <v>0</v>
      </c>
      <c r="AS6" s="15" t="b">
        <f t="shared" si="15"/>
        <v>0</v>
      </c>
      <c r="AT6" s="16" t="b">
        <f t="shared" si="16"/>
        <v>0</v>
      </c>
      <c r="AU6" s="16" t="b">
        <f t="shared" si="17"/>
        <v>0</v>
      </c>
      <c r="AV6" s="21" t="b">
        <v>0</v>
      </c>
      <c r="AW6" s="22" t="b">
        <v>0</v>
      </c>
      <c r="AX6" s="22" t="b">
        <v>0</v>
      </c>
      <c r="AY6" s="15" t="b">
        <f t="shared" si="18"/>
        <v>0</v>
      </c>
      <c r="AZ6" s="16" t="b">
        <f t="shared" si="19"/>
        <v>0</v>
      </c>
      <c r="BA6" s="16" t="b">
        <f t="shared" si="20"/>
        <v>0</v>
      </c>
      <c r="BB6" s="21" t="b">
        <v>0</v>
      </c>
      <c r="BC6" s="22" t="b">
        <v>0</v>
      </c>
      <c r="BD6" s="22" t="b">
        <v>0</v>
      </c>
      <c r="BE6" s="15" t="b">
        <f t="shared" si="21"/>
        <v>0</v>
      </c>
      <c r="BF6" s="16" t="b">
        <f t="shared" si="22"/>
        <v>0</v>
      </c>
      <c r="BG6" s="16" t="b">
        <f t="shared" si="23"/>
        <v>0</v>
      </c>
      <c r="BH6" s="21" t="b">
        <v>0</v>
      </c>
      <c r="BI6" s="12" t="b">
        <v>0</v>
      </c>
      <c r="BJ6" s="22" t="b">
        <v>0</v>
      </c>
      <c r="BK6" s="15" t="b">
        <f t="shared" si="24"/>
        <v>0</v>
      </c>
      <c r="BL6" s="16" t="b">
        <f t="shared" si="25"/>
        <v>0</v>
      </c>
      <c r="BM6" s="16" t="b">
        <f t="shared" si="26"/>
        <v>0</v>
      </c>
    </row>
    <row r="7" spans="1:65" s="4" customFormat="1" x14ac:dyDescent="0.2">
      <c r="A7" s="3" t="s">
        <v>5</v>
      </c>
      <c r="B7" s="4" t="b">
        <f t="shared" si="0"/>
        <v>0</v>
      </c>
      <c r="C7" s="4" t="b">
        <f t="shared" si="0"/>
        <v>0</v>
      </c>
      <c r="D7" s="4" t="b">
        <f t="shared" si="1"/>
        <v>1</v>
      </c>
      <c r="E7" s="4">
        <v>1</v>
      </c>
      <c r="F7" s="4" t="b">
        <v>1</v>
      </c>
      <c r="G7" s="4" t="b">
        <v>1</v>
      </c>
      <c r="H7" s="4" t="b">
        <v>1</v>
      </c>
      <c r="I7" s="4">
        <v>0.934446740128558</v>
      </c>
      <c r="J7" s="4">
        <v>0.997501568338652</v>
      </c>
      <c r="K7" s="4">
        <v>0.95043880362062105</v>
      </c>
      <c r="L7" s="4">
        <v>0.93440082644628097</v>
      </c>
      <c r="M7" s="4">
        <v>0.96985428051001799</v>
      </c>
      <c r="N7" s="4">
        <v>0.99941712204007205</v>
      </c>
      <c r="O7" s="4">
        <v>0.97059068436117601</v>
      </c>
      <c r="P7" s="4">
        <v>0.96912568306010904</v>
      </c>
      <c r="U7" s="10">
        <v>4</v>
      </c>
      <c r="V7" s="4">
        <v>0</v>
      </c>
      <c r="W7" s="4">
        <v>0</v>
      </c>
      <c r="X7" s="13" t="b">
        <f t="shared" si="27"/>
        <v>1</v>
      </c>
      <c r="Y7" s="13" t="b">
        <f t="shared" si="28"/>
        <v>0</v>
      </c>
      <c r="Z7" s="13" t="b">
        <f t="shared" si="29"/>
        <v>0</v>
      </c>
      <c r="AA7" s="17" t="b">
        <f t="shared" si="7"/>
        <v>1</v>
      </c>
      <c r="AB7" s="18" t="b">
        <f t="shared" si="8"/>
        <v>0</v>
      </c>
      <c r="AC7" s="18" t="b">
        <f t="shared" si="9"/>
        <v>0</v>
      </c>
      <c r="AD7" s="10">
        <v>1</v>
      </c>
      <c r="AE7" s="4">
        <v>0</v>
      </c>
      <c r="AF7" s="4">
        <v>0</v>
      </c>
      <c r="AG7" s="13" t="b">
        <f t="shared" si="10"/>
        <v>1</v>
      </c>
      <c r="AH7" s="13" t="b">
        <f>IF(AE7&gt;0, TRUE,FALSE)</f>
        <v>0</v>
      </c>
      <c r="AI7" s="13" t="b">
        <f t="shared" si="4"/>
        <v>0</v>
      </c>
      <c r="AJ7" s="17" t="b">
        <f t="shared" si="11"/>
        <v>1</v>
      </c>
      <c r="AK7" s="18" t="b">
        <f t="shared" si="12"/>
        <v>0</v>
      </c>
      <c r="AL7" s="18" t="b">
        <f t="shared" si="13"/>
        <v>0</v>
      </c>
      <c r="AM7" s="10">
        <v>19</v>
      </c>
      <c r="AN7" s="4">
        <v>0</v>
      </c>
      <c r="AO7" s="4">
        <v>0</v>
      </c>
      <c r="AP7" s="13" t="b">
        <f t="shared" si="14"/>
        <v>1</v>
      </c>
      <c r="AQ7" s="13" t="b">
        <f t="shared" si="5"/>
        <v>0</v>
      </c>
      <c r="AR7" s="13" t="b">
        <f t="shared" si="6"/>
        <v>0</v>
      </c>
      <c r="AS7" s="17" t="b">
        <f t="shared" si="15"/>
        <v>1</v>
      </c>
      <c r="AT7" s="18" t="b">
        <f t="shared" si="16"/>
        <v>0</v>
      </c>
      <c r="AU7" s="18" t="b">
        <f t="shared" si="17"/>
        <v>0</v>
      </c>
      <c r="AV7" s="23" t="b">
        <v>1</v>
      </c>
      <c r="AW7" s="13" t="b">
        <v>1</v>
      </c>
      <c r="AX7" s="13" t="b">
        <v>1</v>
      </c>
      <c r="AY7" s="17" t="b">
        <f t="shared" si="18"/>
        <v>1</v>
      </c>
      <c r="AZ7" s="18" t="b">
        <f t="shared" si="19"/>
        <v>1</v>
      </c>
      <c r="BA7" s="18" t="b">
        <f t="shared" si="20"/>
        <v>1</v>
      </c>
      <c r="BB7" s="23" t="b">
        <v>1</v>
      </c>
      <c r="BC7" s="13" t="b">
        <v>1</v>
      </c>
      <c r="BD7" s="13" t="b">
        <v>1</v>
      </c>
      <c r="BE7" s="17" t="b">
        <f t="shared" si="21"/>
        <v>1</v>
      </c>
      <c r="BF7" s="18" t="b">
        <f t="shared" si="22"/>
        <v>1</v>
      </c>
      <c r="BG7" s="18" t="b">
        <f t="shared" si="23"/>
        <v>1</v>
      </c>
      <c r="BH7" s="23" t="b">
        <v>0</v>
      </c>
      <c r="BI7" s="13" t="b">
        <v>0</v>
      </c>
      <c r="BJ7" s="13" t="b">
        <v>0</v>
      </c>
      <c r="BK7" s="17" t="b">
        <f t="shared" si="24"/>
        <v>0</v>
      </c>
      <c r="BL7" s="18" t="b">
        <f t="shared" si="25"/>
        <v>0</v>
      </c>
      <c r="BM7" s="18" t="b">
        <f t="shared" si="26"/>
        <v>0</v>
      </c>
    </row>
    <row r="8" spans="1:65" x14ac:dyDescent="0.2">
      <c r="A8" s="2" t="s">
        <v>2</v>
      </c>
      <c r="B8" t="b">
        <f t="shared" si="0"/>
        <v>0</v>
      </c>
      <c r="C8" t="b">
        <f t="shared" si="0"/>
        <v>0</v>
      </c>
      <c r="D8" t="b">
        <f t="shared" si="1"/>
        <v>1</v>
      </c>
      <c r="E8">
        <v>0</v>
      </c>
      <c r="F8" t="b">
        <v>0</v>
      </c>
      <c r="G8" t="b">
        <v>0</v>
      </c>
      <c r="H8" t="b">
        <v>0</v>
      </c>
      <c r="I8">
        <v>0.62980783804097595</v>
      </c>
      <c r="J8">
        <v>0.96897901121835905</v>
      </c>
      <c r="K8">
        <v>0.76599450564304805</v>
      </c>
      <c r="L8">
        <v>0.55557236758737005</v>
      </c>
      <c r="M8">
        <v>0.63471044183258996</v>
      </c>
      <c r="N8">
        <v>0.99000087860986996</v>
      </c>
      <c r="O8">
        <v>0.76257599622786898</v>
      </c>
      <c r="P8">
        <v>0.55396672099631805</v>
      </c>
      <c r="Q8">
        <v>0.58985223092665096</v>
      </c>
      <c r="R8">
        <v>0.97081569620470598</v>
      </c>
      <c r="S8">
        <v>0.73462982538166499</v>
      </c>
      <c r="T8">
        <v>0.53567432668799397</v>
      </c>
      <c r="U8" s="9">
        <v>0</v>
      </c>
      <c r="V8">
        <v>0</v>
      </c>
      <c r="W8">
        <v>0</v>
      </c>
      <c r="X8" s="12" t="b">
        <f t="shared" si="27"/>
        <v>0</v>
      </c>
      <c r="Y8" s="12" t="b">
        <f t="shared" si="28"/>
        <v>0</v>
      </c>
      <c r="Z8" s="12" t="b">
        <f t="shared" si="29"/>
        <v>0</v>
      </c>
      <c r="AA8" s="15" t="b">
        <f t="shared" si="7"/>
        <v>0</v>
      </c>
      <c r="AB8" s="16" t="b">
        <f t="shared" si="8"/>
        <v>0</v>
      </c>
      <c r="AC8" s="16" t="b">
        <f t="shared" si="9"/>
        <v>0</v>
      </c>
      <c r="AD8" s="9">
        <v>0</v>
      </c>
      <c r="AE8">
        <v>0</v>
      </c>
      <c r="AF8">
        <v>0</v>
      </c>
      <c r="AG8" s="12" t="b">
        <f t="shared" si="10"/>
        <v>0</v>
      </c>
      <c r="AH8" s="12" t="b">
        <f t="shared" si="3"/>
        <v>0</v>
      </c>
      <c r="AI8" s="12" t="b">
        <f t="shared" si="4"/>
        <v>0</v>
      </c>
      <c r="AJ8" s="15" t="b">
        <f t="shared" si="11"/>
        <v>0</v>
      </c>
      <c r="AK8" s="16" t="b">
        <f t="shared" si="12"/>
        <v>0</v>
      </c>
      <c r="AL8" s="16" t="b">
        <f t="shared" si="13"/>
        <v>0</v>
      </c>
      <c r="AM8" s="9">
        <v>1</v>
      </c>
      <c r="AN8">
        <v>0</v>
      </c>
      <c r="AO8">
        <v>0</v>
      </c>
      <c r="AP8" s="12" t="b">
        <f t="shared" si="14"/>
        <v>1</v>
      </c>
      <c r="AQ8" s="12" t="b">
        <f t="shared" si="5"/>
        <v>0</v>
      </c>
      <c r="AR8" s="12" t="b">
        <f t="shared" si="6"/>
        <v>0</v>
      </c>
      <c r="AS8" s="15" t="b">
        <f t="shared" si="15"/>
        <v>0</v>
      </c>
      <c r="AT8" s="16" t="b">
        <f t="shared" si="16"/>
        <v>0</v>
      </c>
      <c r="AU8" s="16" t="b">
        <f t="shared" si="17"/>
        <v>0</v>
      </c>
      <c r="AV8" s="21" t="b">
        <v>0</v>
      </c>
      <c r="AW8" s="22" t="b">
        <v>0</v>
      </c>
      <c r="AX8" s="22" t="b">
        <v>0</v>
      </c>
      <c r="AY8" s="15" t="b">
        <f t="shared" si="18"/>
        <v>0</v>
      </c>
      <c r="AZ8" s="16" t="b">
        <f t="shared" si="19"/>
        <v>0</v>
      </c>
      <c r="BA8" s="16" t="b">
        <f t="shared" si="20"/>
        <v>0</v>
      </c>
      <c r="BB8" s="21" t="b">
        <v>0</v>
      </c>
      <c r="BC8" s="22" t="b">
        <v>0</v>
      </c>
      <c r="BD8" s="22" t="b">
        <v>0</v>
      </c>
      <c r="BE8" s="15" t="b">
        <f t="shared" si="21"/>
        <v>0</v>
      </c>
      <c r="BF8" s="16" t="b">
        <f t="shared" si="22"/>
        <v>0</v>
      </c>
      <c r="BG8" s="16" t="b">
        <f t="shared" si="23"/>
        <v>0</v>
      </c>
      <c r="BH8" s="21" t="b">
        <v>0</v>
      </c>
      <c r="BI8" s="22" t="b">
        <v>0</v>
      </c>
      <c r="BJ8" s="22" t="b">
        <v>0</v>
      </c>
      <c r="BK8" s="15" t="b">
        <f t="shared" si="24"/>
        <v>0</v>
      </c>
      <c r="BL8" s="16" t="b">
        <f t="shared" si="25"/>
        <v>0</v>
      </c>
      <c r="BM8" s="16" t="b">
        <f t="shared" si="26"/>
        <v>0</v>
      </c>
    </row>
    <row r="9" spans="1:65" s="4" customFormat="1" x14ac:dyDescent="0.2">
      <c r="A9" s="3" t="s">
        <v>2</v>
      </c>
      <c r="B9" s="4" t="b">
        <f t="shared" si="0"/>
        <v>1</v>
      </c>
      <c r="C9" s="4" t="b">
        <f t="shared" si="0"/>
        <v>0</v>
      </c>
      <c r="D9" s="4" t="b">
        <f t="shared" si="1"/>
        <v>1</v>
      </c>
      <c r="E9" s="4">
        <v>1</v>
      </c>
      <c r="F9" s="4" t="b">
        <v>1</v>
      </c>
      <c r="G9" s="4" t="b">
        <v>1</v>
      </c>
      <c r="H9" s="4" t="b">
        <v>1</v>
      </c>
      <c r="I9" s="4">
        <v>0.64322039277375398</v>
      </c>
      <c r="J9" s="4">
        <v>0.96885644489488698</v>
      </c>
      <c r="K9" s="4">
        <v>0.76481319159317596</v>
      </c>
      <c r="L9" s="4">
        <v>0.56256306293834402</v>
      </c>
      <c r="M9" s="4">
        <v>0.64939344829965295</v>
      </c>
      <c r="N9" s="4">
        <v>0.97910838227905805</v>
      </c>
      <c r="O9" s="4">
        <v>0.76853800106975501</v>
      </c>
      <c r="P9" s="4">
        <v>0.60549823482130805</v>
      </c>
      <c r="Q9" s="4">
        <v>0.63292104492951295</v>
      </c>
      <c r="R9" s="4">
        <v>0.94363871648140396</v>
      </c>
      <c r="S9" s="4">
        <v>0.75708533440619596</v>
      </c>
      <c r="T9" s="4">
        <v>0.59164794236498996</v>
      </c>
      <c r="U9" s="10">
        <v>0</v>
      </c>
      <c r="V9" s="4">
        <v>0</v>
      </c>
      <c r="W9" s="4">
        <v>0</v>
      </c>
      <c r="X9" s="13" t="b">
        <f t="shared" si="27"/>
        <v>0</v>
      </c>
      <c r="Y9" s="13" t="b">
        <f t="shared" si="28"/>
        <v>0</v>
      </c>
      <c r="Z9" s="13" t="b">
        <f t="shared" si="29"/>
        <v>0</v>
      </c>
      <c r="AA9" s="17" t="b">
        <f t="shared" si="7"/>
        <v>0</v>
      </c>
      <c r="AB9" s="18" t="b">
        <f t="shared" si="8"/>
        <v>0</v>
      </c>
      <c r="AC9" s="18" t="b">
        <f t="shared" si="9"/>
        <v>0</v>
      </c>
      <c r="AD9" s="10">
        <v>2</v>
      </c>
      <c r="AE9" s="4">
        <v>1</v>
      </c>
      <c r="AF9" s="4">
        <v>0</v>
      </c>
      <c r="AG9" s="13" t="b">
        <f t="shared" si="10"/>
        <v>1</v>
      </c>
      <c r="AH9" s="13" t="b">
        <f t="shared" si="3"/>
        <v>1</v>
      </c>
      <c r="AI9" s="13" t="b">
        <f t="shared" si="4"/>
        <v>0</v>
      </c>
      <c r="AJ9" s="17" t="b">
        <f t="shared" si="11"/>
        <v>1</v>
      </c>
      <c r="AK9" s="18" t="b">
        <f t="shared" si="12"/>
        <v>1</v>
      </c>
      <c r="AL9" s="18" t="b">
        <f t="shared" si="13"/>
        <v>0</v>
      </c>
      <c r="AM9" s="10">
        <v>2</v>
      </c>
      <c r="AN9" s="4">
        <v>0</v>
      </c>
      <c r="AO9" s="4">
        <v>0</v>
      </c>
      <c r="AP9" s="13" t="b">
        <f t="shared" si="14"/>
        <v>1</v>
      </c>
      <c r="AQ9" s="13" t="b">
        <f t="shared" si="5"/>
        <v>0</v>
      </c>
      <c r="AR9" s="13" t="b">
        <f t="shared" si="6"/>
        <v>0</v>
      </c>
      <c r="AS9" s="17" t="b">
        <f t="shared" si="15"/>
        <v>1</v>
      </c>
      <c r="AT9" s="18" t="b">
        <f t="shared" si="16"/>
        <v>0</v>
      </c>
      <c r="AU9" s="18" t="b">
        <f t="shared" si="17"/>
        <v>0</v>
      </c>
      <c r="AV9" s="23" t="b">
        <v>0</v>
      </c>
      <c r="AW9" s="13" t="b">
        <v>0</v>
      </c>
      <c r="AX9" s="13" t="b">
        <v>0</v>
      </c>
      <c r="AY9" s="17" t="b">
        <f t="shared" si="18"/>
        <v>0</v>
      </c>
      <c r="AZ9" s="18" t="b">
        <f t="shared" si="19"/>
        <v>0</v>
      </c>
      <c r="BA9" s="18" t="b">
        <f t="shared" si="20"/>
        <v>0</v>
      </c>
      <c r="BB9" s="23" t="b">
        <v>0</v>
      </c>
      <c r="BC9" s="13" t="b">
        <v>0</v>
      </c>
      <c r="BD9" s="13" t="b">
        <v>0</v>
      </c>
      <c r="BE9" s="17" t="b">
        <f t="shared" si="21"/>
        <v>0</v>
      </c>
      <c r="BF9" s="18" t="b">
        <f t="shared" si="22"/>
        <v>0</v>
      </c>
      <c r="BG9" s="18" t="b">
        <f t="shared" si="23"/>
        <v>0</v>
      </c>
      <c r="BH9" s="23" t="b">
        <v>0</v>
      </c>
      <c r="BI9" s="13" t="b">
        <v>0</v>
      </c>
      <c r="BJ9" s="13" t="b">
        <v>0</v>
      </c>
      <c r="BK9" s="17" t="b">
        <f t="shared" si="24"/>
        <v>0</v>
      </c>
      <c r="BL9" s="18" t="b">
        <f t="shared" si="25"/>
        <v>0</v>
      </c>
      <c r="BM9" s="18" t="b">
        <f t="shared" si="26"/>
        <v>0</v>
      </c>
    </row>
    <row r="10" spans="1:65" s="4" customFormat="1" x14ac:dyDescent="0.2">
      <c r="A10" s="3" t="s">
        <v>6</v>
      </c>
      <c r="B10" s="4" t="b">
        <f t="shared" si="0"/>
        <v>0</v>
      </c>
      <c r="C10" s="4" t="b">
        <f t="shared" si="0"/>
        <v>0</v>
      </c>
      <c r="D10" s="4" t="b">
        <f t="shared" si="1"/>
        <v>0</v>
      </c>
      <c r="E10" s="4">
        <v>0</v>
      </c>
      <c r="F10" s="4" t="b">
        <v>1</v>
      </c>
      <c r="G10" s="4" t="b">
        <v>1</v>
      </c>
      <c r="H10" s="4" t="b">
        <v>1</v>
      </c>
      <c r="I10" s="4">
        <v>0.60733560887577198</v>
      </c>
      <c r="J10" s="4">
        <v>0.98303300418335904</v>
      </c>
      <c r="K10" s="4">
        <v>0.74133149847369995</v>
      </c>
      <c r="L10" s="4">
        <v>0.49757575925210601</v>
      </c>
      <c r="M10" s="4">
        <v>0.599131508668719</v>
      </c>
      <c r="N10" s="4">
        <v>0.96965334564803396</v>
      </c>
      <c r="O10" s="4">
        <v>0.73493780250759899</v>
      </c>
      <c r="P10" s="4">
        <v>0.48940672770296501</v>
      </c>
      <c r="Q10" s="4">
        <v>0.51865301364579597</v>
      </c>
      <c r="R10" s="4">
        <v>0.86130283956798503</v>
      </c>
      <c r="S10" s="4">
        <v>0.67117432264753396</v>
      </c>
      <c r="T10" s="4">
        <v>0.49441160989548</v>
      </c>
      <c r="U10" s="10">
        <v>8</v>
      </c>
      <c r="V10" s="4">
        <v>0</v>
      </c>
      <c r="W10" s="4">
        <v>0</v>
      </c>
      <c r="X10" s="13" t="b">
        <f t="shared" si="27"/>
        <v>1</v>
      </c>
      <c r="Y10" s="13" t="b">
        <f t="shared" si="28"/>
        <v>0</v>
      </c>
      <c r="Z10" s="13" t="b">
        <f t="shared" si="29"/>
        <v>0</v>
      </c>
      <c r="AA10" s="17" t="b">
        <f t="shared" si="7"/>
        <v>1</v>
      </c>
      <c r="AB10" s="18" t="b">
        <f t="shared" si="8"/>
        <v>0</v>
      </c>
      <c r="AC10" s="18" t="b">
        <f t="shared" si="9"/>
        <v>0</v>
      </c>
      <c r="AD10" s="10">
        <v>3</v>
      </c>
      <c r="AE10" s="4">
        <v>0</v>
      </c>
      <c r="AF10" s="4">
        <v>0</v>
      </c>
      <c r="AG10" s="13" t="b">
        <f t="shared" si="10"/>
        <v>1</v>
      </c>
      <c r="AH10" s="13" t="b">
        <f t="shared" si="3"/>
        <v>0</v>
      </c>
      <c r="AI10" s="13" t="b">
        <f t="shared" si="4"/>
        <v>0</v>
      </c>
      <c r="AJ10" s="17" t="b">
        <f t="shared" si="11"/>
        <v>1</v>
      </c>
      <c r="AK10" s="18" t="b">
        <f t="shared" si="12"/>
        <v>0</v>
      </c>
      <c r="AL10" s="18" t="b">
        <f t="shared" si="13"/>
        <v>0</v>
      </c>
      <c r="AM10" s="10">
        <v>19</v>
      </c>
      <c r="AN10" s="4">
        <v>0</v>
      </c>
      <c r="AO10" s="4">
        <v>0</v>
      </c>
      <c r="AP10" s="13" t="b">
        <f t="shared" si="14"/>
        <v>1</v>
      </c>
      <c r="AQ10" s="13" t="b">
        <f t="shared" si="5"/>
        <v>0</v>
      </c>
      <c r="AR10" s="13" t="b">
        <f t="shared" si="6"/>
        <v>0</v>
      </c>
      <c r="AS10" s="17" t="b">
        <f t="shared" si="15"/>
        <v>1</v>
      </c>
      <c r="AT10" s="18" t="b">
        <f t="shared" si="16"/>
        <v>0</v>
      </c>
      <c r="AU10" s="18" t="b">
        <f t="shared" si="17"/>
        <v>0</v>
      </c>
      <c r="AV10" s="23" t="b">
        <v>0</v>
      </c>
      <c r="AW10" s="13" t="b">
        <v>0</v>
      </c>
      <c r="AX10" s="13" t="b">
        <v>0</v>
      </c>
      <c r="AY10" s="17" t="b">
        <f t="shared" si="18"/>
        <v>0</v>
      </c>
      <c r="AZ10" s="18" t="b">
        <f t="shared" si="19"/>
        <v>0</v>
      </c>
      <c r="BA10" s="18" t="b">
        <f t="shared" si="20"/>
        <v>0</v>
      </c>
      <c r="BB10" s="23" t="b">
        <v>0</v>
      </c>
      <c r="BC10" s="13" t="b">
        <v>0</v>
      </c>
      <c r="BD10" s="13" t="b">
        <v>0</v>
      </c>
      <c r="BE10" s="17" t="b">
        <f t="shared" si="21"/>
        <v>0</v>
      </c>
      <c r="BF10" s="18" t="b">
        <f t="shared" si="22"/>
        <v>0</v>
      </c>
      <c r="BG10" s="18" t="b">
        <f t="shared" si="23"/>
        <v>0</v>
      </c>
      <c r="BH10" s="23" t="b">
        <v>0</v>
      </c>
      <c r="BI10" s="13" t="b">
        <v>0</v>
      </c>
      <c r="BJ10" s="13" t="b">
        <v>0</v>
      </c>
      <c r="BK10" s="17" t="b">
        <f t="shared" si="24"/>
        <v>0</v>
      </c>
      <c r="BL10" s="18" t="b">
        <f t="shared" si="25"/>
        <v>0</v>
      </c>
      <c r="BM10" s="18" t="b">
        <f t="shared" si="26"/>
        <v>0</v>
      </c>
    </row>
    <row r="11" spans="1:65" x14ac:dyDescent="0.2">
      <c r="A11" s="2" t="s">
        <v>7</v>
      </c>
      <c r="B11" t="b">
        <f t="shared" ref="B11:B51" si="30">OR(Y11,AH11,AQ11)</f>
        <v>1</v>
      </c>
      <c r="C11" t="b">
        <f t="shared" ref="C11:C51" si="31">OR(Z11,AI11,AR11)</f>
        <v>1</v>
      </c>
      <c r="D11" t="b">
        <f t="shared" si="1"/>
        <v>1</v>
      </c>
      <c r="E11">
        <v>0</v>
      </c>
      <c r="F11" t="b">
        <v>1</v>
      </c>
      <c r="G11" t="b">
        <v>0</v>
      </c>
      <c r="H11" t="b">
        <v>0</v>
      </c>
      <c r="I11">
        <v>0.69854468018059002</v>
      </c>
      <c r="J11">
        <v>0.96567962772891602</v>
      </c>
      <c r="K11">
        <v>0.81802015001141504</v>
      </c>
      <c r="L11">
        <v>0.590897300719743</v>
      </c>
      <c r="M11" t="s">
        <v>20</v>
      </c>
      <c r="N11" t="s">
        <v>20</v>
      </c>
      <c r="O11" t="s">
        <v>20</v>
      </c>
      <c r="P11" t="s">
        <v>20</v>
      </c>
      <c r="Q11">
        <v>0.50281214848143896</v>
      </c>
      <c r="R11">
        <v>0.71684817424727698</v>
      </c>
      <c r="S11">
        <v>0.669161179572341</v>
      </c>
      <c r="T11">
        <v>0.50281214848143896</v>
      </c>
      <c r="U11" s="9">
        <v>9</v>
      </c>
      <c r="V11">
        <v>2</v>
      </c>
      <c r="W11">
        <v>2</v>
      </c>
      <c r="X11" s="12" t="b">
        <f t="shared" si="27"/>
        <v>1</v>
      </c>
      <c r="Y11" s="12" t="b">
        <f t="shared" si="28"/>
        <v>1</v>
      </c>
      <c r="Z11" s="12" t="b">
        <f t="shared" si="29"/>
        <v>1</v>
      </c>
      <c r="AA11" s="15" t="b">
        <f t="shared" si="7"/>
        <v>1</v>
      </c>
      <c r="AB11" s="16" t="b">
        <f t="shared" si="8"/>
        <v>0</v>
      </c>
      <c r="AC11" s="16" t="b">
        <f t="shared" si="9"/>
        <v>0</v>
      </c>
      <c r="AD11" s="9">
        <v>5</v>
      </c>
      <c r="AE11">
        <v>0</v>
      </c>
      <c r="AF11">
        <v>0</v>
      </c>
      <c r="AG11" s="12" t="b">
        <f t="shared" ref="AG11:AG51" si="32">IF(AD11&gt;0, TRUE,FALSE)</f>
        <v>1</v>
      </c>
      <c r="AH11" s="12" t="b">
        <f t="shared" ref="AH11:AH51" si="33">IF(AE11&gt;0, TRUE,FALSE)</f>
        <v>0</v>
      </c>
      <c r="AI11" s="12" t="b">
        <f t="shared" ref="AI11:AI51" si="34">IF(AF11&gt;0, TRUE,FALSE)</f>
        <v>0</v>
      </c>
      <c r="AJ11" s="15" t="b">
        <f t="shared" si="11"/>
        <v>1</v>
      </c>
      <c r="AK11" s="16" t="b">
        <f t="shared" si="12"/>
        <v>0</v>
      </c>
      <c r="AL11" s="16" t="b">
        <f t="shared" si="13"/>
        <v>0</v>
      </c>
      <c r="AM11" s="9">
        <v>0</v>
      </c>
      <c r="AN11">
        <v>0</v>
      </c>
      <c r="AO11">
        <v>0</v>
      </c>
      <c r="AP11" s="12" t="b">
        <f t="shared" ref="AP11:AP51" si="35">IF(AM11&gt;0, TRUE,FALSE)</f>
        <v>0</v>
      </c>
      <c r="AQ11" s="12" t="b">
        <f t="shared" ref="AQ11:AQ51" si="36">IF(AN11&gt;0, TRUE,FALSE)</f>
        <v>0</v>
      </c>
      <c r="AR11" s="12" t="b">
        <f t="shared" ref="AR11:AR51" si="37">IF(AO11&gt;0, TRUE,FALSE)</f>
        <v>0</v>
      </c>
      <c r="AS11" s="15" t="b">
        <f t="shared" si="15"/>
        <v>0</v>
      </c>
      <c r="AT11" s="16" t="b">
        <f t="shared" si="16"/>
        <v>0</v>
      </c>
      <c r="AU11" s="16" t="b">
        <f t="shared" si="17"/>
        <v>0</v>
      </c>
      <c r="AV11" s="21" t="b">
        <v>1</v>
      </c>
      <c r="AW11" s="22" t="b">
        <v>0</v>
      </c>
      <c r="AX11" s="22" t="b">
        <v>0</v>
      </c>
      <c r="AY11" s="15" t="b">
        <f t="shared" si="18"/>
        <v>1</v>
      </c>
      <c r="AZ11" s="16" t="b">
        <f t="shared" si="19"/>
        <v>0</v>
      </c>
      <c r="BA11" s="16" t="b">
        <f t="shared" si="20"/>
        <v>0</v>
      </c>
      <c r="BB11" s="21" t="b">
        <v>0</v>
      </c>
      <c r="BC11" s="12" t="b">
        <v>0</v>
      </c>
      <c r="BD11" s="12" t="b">
        <v>0</v>
      </c>
      <c r="BE11" s="15" t="b">
        <f t="shared" si="21"/>
        <v>0</v>
      </c>
      <c r="BF11" s="16" t="b">
        <f t="shared" si="22"/>
        <v>0</v>
      </c>
      <c r="BG11" s="16" t="b">
        <f t="shared" si="23"/>
        <v>0</v>
      </c>
      <c r="BH11" s="21" t="b">
        <v>1</v>
      </c>
      <c r="BI11" s="12" t="b">
        <v>0</v>
      </c>
      <c r="BJ11" s="12" t="b">
        <v>0</v>
      </c>
      <c r="BK11" s="15" t="b">
        <f t="shared" si="24"/>
        <v>1</v>
      </c>
      <c r="BL11" s="16" t="b">
        <f t="shared" si="25"/>
        <v>0</v>
      </c>
      <c r="BM11" s="16" t="b">
        <f t="shared" si="26"/>
        <v>0</v>
      </c>
    </row>
    <row r="12" spans="1:65" x14ac:dyDescent="0.2">
      <c r="A12" s="2" t="s">
        <v>7</v>
      </c>
      <c r="B12" t="b">
        <f t="shared" si="30"/>
        <v>1</v>
      </c>
      <c r="C12" t="b">
        <f t="shared" si="31"/>
        <v>1</v>
      </c>
      <c r="D12" t="b">
        <f t="shared" si="1"/>
        <v>1</v>
      </c>
      <c r="E12">
        <v>1</v>
      </c>
      <c r="F12" t="b">
        <v>1</v>
      </c>
      <c r="G12" t="b">
        <v>0</v>
      </c>
      <c r="H12" t="b">
        <v>0</v>
      </c>
      <c r="I12">
        <v>0.64959973996258003</v>
      </c>
      <c r="J12">
        <v>0.95292530913668105</v>
      </c>
      <c r="K12">
        <v>0.78259590069804297</v>
      </c>
      <c r="L12">
        <v>0.57036141487458303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  <c r="S12" t="s">
        <v>20</v>
      </c>
      <c r="T12" t="s">
        <v>20</v>
      </c>
      <c r="U12" s="9">
        <v>9</v>
      </c>
      <c r="V12">
        <v>2</v>
      </c>
      <c r="W12">
        <v>2</v>
      </c>
      <c r="X12" s="12" t="b">
        <f t="shared" si="27"/>
        <v>1</v>
      </c>
      <c r="Y12" s="12" t="b">
        <f t="shared" si="28"/>
        <v>1</v>
      </c>
      <c r="Z12" s="12" t="b">
        <f t="shared" si="29"/>
        <v>1</v>
      </c>
      <c r="AA12" s="15" t="b">
        <f t="shared" si="7"/>
        <v>1</v>
      </c>
      <c r="AB12" s="16" t="b">
        <f t="shared" si="8"/>
        <v>0</v>
      </c>
      <c r="AC12" s="16" t="b">
        <f t="shared" si="9"/>
        <v>0</v>
      </c>
      <c r="AD12" s="9">
        <v>5</v>
      </c>
      <c r="AE12">
        <v>0</v>
      </c>
      <c r="AF12">
        <v>0</v>
      </c>
      <c r="AG12" s="12" t="b">
        <f t="shared" si="32"/>
        <v>1</v>
      </c>
      <c r="AH12" s="12" t="b">
        <f t="shared" si="33"/>
        <v>0</v>
      </c>
      <c r="AI12" s="12" t="b">
        <f t="shared" si="34"/>
        <v>0</v>
      </c>
      <c r="AJ12" s="15" t="b">
        <f t="shared" si="11"/>
        <v>1</v>
      </c>
      <c r="AK12" s="16" t="b">
        <f t="shared" si="12"/>
        <v>0</v>
      </c>
      <c r="AL12" s="16" t="b">
        <f t="shared" si="13"/>
        <v>0</v>
      </c>
      <c r="AM12" s="9">
        <v>0</v>
      </c>
      <c r="AN12">
        <v>0</v>
      </c>
      <c r="AO12">
        <v>0</v>
      </c>
      <c r="AP12" s="12" t="b">
        <f t="shared" si="35"/>
        <v>0</v>
      </c>
      <c r="AQ12" s="12" t="b">
        <f t="shared" si="36"/>
        <v>0</v>
      </c>
      <c r="AR12" s="12" t="b">
        <f t="shared" si="37"/>
        <v>0</v>
      </c>
      <c r="AS12" s="15" t="b">
        <f t="shared" si="15"/>
        <v>0</v>
      </c>
      <c r="AT12" s="16" t="b">
        <f t="shared" si="16"/>
        <v>0</v>
      </c>
      <c r="AU12" s="16" t="b">
        <f t="shared" si="17"/>
        <v>0</v>
      </c>
      <c r="AV12" s="21" t="b">
        <v>1</v>
      </c>
      <c r="AW12" s="22" t="b">
        <v>0</v>
      </c>
      <c r="AX12" s="22" t="b">
        <v>0</v>
      </c>
      <c r="AY12" s="15" t="b">
        <f t="shared" si="18"/>
        <v>1</v>
      </c>
      <c r="AZ12" s="16" t="b">
        <f t="shared" si="19"/>
        <v>0</v>
      </c>
      <c r="BA12" s="16" t="b">
        <f t="shared" si="20"/>
        <v>0</v>
      </c>
      <c r="BB12" s="21" t="b">
        <v>0</v>
      </c>
      <c r="BC12" s="12" t="b">
        <v>0</v>
      </c>
      <c r="BD12" s="12" t="b">
        <v>0</v>
      </c>
      <c r="BE12" s="15" t="b">
        <f t="shared" si="21"/>
        <v>0</v>
      </c>
      <c r="BF12" s="16" t="b">
        <f t="shared" si="22"/>
        <v>0</v>
      </c>
      <c r="BG12" s="16" t="b">
        <f t="shared" si="23"/>
        <v>0</v>
      </c>
      <c r="BH12" s="21" t="b">
        <v>1</v>
      </c>
      <c r="BI12" s="12" t="b">
        <v>0</v>
      </c>
      <c r="BJ12" s="12" t="b">
        <v>0</v>
      </c>
      <c r="BK12" s="15" t="b">
        <f t="shared" si="24"/>
        <v>1</v>
      </c>
      <c r="BL12" s="16" t="b">
        <f t="shared" si="25"/>
        <v>0</v>
      </c>
      <c r="BM12" s="16" t="b">
        <f t="shared" si="26"/>
        <v>0</v>
      </c>
    </row>
    <row r="13" spans="1:65" x14ac:dyDescent="0.2">
      <c r="A13" s="2" t="s">
        <v>7</v>
      </c>
      <c r="B13" t="b">
        <f t="shared" si="30"/>
        <v>1</v>
      </c>
      <c r="C13" t="b">
        <f t="shared" si="31"/>
        <v>1</v>
      </c>
      <c r="D13" t="b">
        <f t="shared" si="1"/>
        <v>1</v>
      </c>
      <c r="E13">
        <v>2</v>
      </c>
      <c r="F13" t="b">
        <v>1</v>
      </c>
      <c r="G13" t="b">
        <v>0</v>
      </c>
      <c r="H13" t="b">
        <v>0</v>
      </c>
      <c r="I13">
        <v>0.66070751905069003</v>
      </c>
      <c r="J13">
        <v>0.97078133653143694</v>
      </c>
      <c r="K13">
        <v>0.78754667503839604</v>
      </c>
      <c r="L13">
        <v>0.59382067223948798</v>
      </c>
      <c r="M13" t="s">
        <v>20</v>
      </c>
      <c r="N13" t="s">
        <v>20</v>
      </c>
      <c r="O13" t="s">
        <v>20</v>
      </c>
      <c r="P13" t="s">
        <v>20</v>
      </c>
      <c r="Q13">
        <v>0.50920021085484501</v>
      </c>
      <c r="R13">
        <v>0.82653042266604704</v>
      </c>
      <c r="S13">
        <v>0.673709714556464</v>
      </c>
      <c r="T13">
        <v>0.49636696079410803</v>
      </c>
      <c r="U13" s="9">
        <v>9</v>
      </c>
      <c r="V13">
        <v>2</v>
      </c>
      <c r="W13">
        <v>2</v>
      </c>
      <c r="X13" s="12" t="b">
        <f t="shared" si="27"/>
        <v>1</v>
      </c>
      <c r="Y13" s="12" t="b">
        <f t="shared" si="28"/>
        <v>1</v>
      </c>
      <c r="Z13" s="12" t="b">
        <f t="shared" si="29"/>
        <v>1</v>
      </c>
      <c r="AA13" s="15" t="b">
        <f t="shared" si="7"/>
        <v>1</v>
      </c>
      <c r="AB13" s="16" t="b">
        <f t="shared" si="8"/>
        <v>0</v>
      </c>
      <c r="AC13" s="16" t="b">
        <f t="shared" si="9"/>
        <v>0</v>
      </c>
      <c r="AD13" s="9">
        <v>5</v>
      </c>
      <c r="AE13">
        <v>0</v>
      </c>
      <c r="AF13">
        <v>0</v>
      </c>
      <c r="AG13" s="12" t="b">
        <f t="shared" si="32"/>
        <v>1</v>
      </c>
      <c r="AH13" s="12" t="b">
        <f t="shared" si="33"/>
        <v>0</v>
      </c>
      <c r="AI13" s="12" t="b">
        <f t="shared" si="34"/>
        <v>0</v>
      </c>
      <c r="AJ13" s="15" t="b">
        <f t="shared" si="11"/>
        <v>1</v>
      </c>
      <c r="AK13" s="16" t="b">
        <f t="shared" si="12"/>
        <v>0</v>
      </c>
      <c r="AL13" s="16" t="b">
        <f t="shared" si="13"/>
        <v>0</v>
      </c>
      <c r="AM13" s="9">
        <v>0</v>
      </c>
      <c r="AN13">
        <v>0</v>
      </c>
      <c r="AO13">
        <v>0</v>
      </c>
      <c r="AP13" s="12" t="b">
        <f t="shared" si="35"/>
        <v>0</v>
      </c>
      <c r="AQ13" s="12" t="b">
        <f t="shared" si="36"/>
        <v>0</v>
      </c>
      <c r="AR13" s="12" t="b">
        <f t="shared" si="37"/>
        <v>0</v>
      </c>
      <c r="AS13" s="15" t="b">
        <f t="shared" si="15"/>
        <v>0</v>
      </c>
      <c r="AT13" s="16" t="b">
        <f t="shared" si="16"/>
        <v>0</v>
      </c>
      <c r="AU13" s="16" t="b">
        <f t="shared" si="17"/>
        <v>0</v>
      </c>
      <c r="AV13" s="21" t="b">
        <v>1</v>
      </c>
      <c r="AW13" s="12" t="b">
        <v>1</v>
      </c>
      <c r="AX13" s="12" t="b">
        <v>1</v>
      </c>
      <c r="AY13" s="15" t="b">
        <f t="shared" si="18"/>
        <v>1</v>
      </c>
      <c r="AZ13" s="16" t="b">
        <f t="shared" si="19"/>
        <v>0</v>
      </c>
      <c r="BA13" s="16" t="b">
        <f t="shared" si="20"/>
        <v>0</v>
      </c>
      <c r="BB13" s="21" t="b">
        <v>0</v>
      </c>
      <c r="BC13" s="12" t="b">
        <v>0</v>
      </c>
      <c r="BD13" s="12" t="b">
        <v>0</v>
      </c>
      <c r="BE13" s="15" t="b">
        <f t="shared" si="21"/>
        <v>0</v>
      </c>
      <c r="BF13" s="16" t="b">
        <f t="shared" si="22"/>
        <v>0</v>
      </c>
      <c r="BG13" s="16" t="b">
        <f t="shared" si="23"/>
        <v>0</v>
      </c>
      <c r="BH13" s="21" t="b">
        <v>1</v>
      </c>
      <c r="BI13" s="12" t="b">
        <v>0</v>
      </c>
      <c r="BJ13" s="12" t="b">
        <v>0</v>
      </c>
      <c r="BK13" s="15" t="b">
        <f t="shared" si="24"/>
        <v>1</v>
      </c>
      <c r="BL13" s="16" t="b">
        <f t="shared" si="25"/>
        <v>0</v>
      </c>
      <c r="BM13" s="16" t="b">
        <f t="shared" si="26"/>
        <v>0</v>
      </c>
    </row>
    <row r="14" spans="1:65" x14ac:dyDescent="0.2">
      <c r="A14" s="2" t="s">
        <v>7</v>
      </c>
      <c r="B14" t="b">
        <f t="shared" si="30"/>
        <v>1</v>
      </c>
      <c r="C14" t="b">
        <f t="shared" si="31"/>
        <v>1</v>
      </c>
      <c r="D14" t="b">
        <f t="shared" si="1"/>
        <v>1</v>
      </c>
      <c r="E14">
        <v>3</v>
      </c>
      <c r="F14" t="b">
        <v>1</v>
      </c>
      <c r="G14" t="b">
        <v>0</v>
      </c>
      <c r="H14" t="b">
        <v>0</v>
      </c>
      <c r="I14">
        <v>0.71489055444326899</v>
      </c>
      <c r="J14">
        <v>0.96011437121162202</v>
      </c>
      <c r="K14">
        <v>0.82763502590724602</v>
      </c>
      <c r="L14">
        <v>0.65024792507662899</v>
      </c>
      <c r="M14" t="s">
        <v>20</v>
      </c>
      <c r="N14" t="s">
        <v>20</v>
      </c>
      <c r="O14" t="s">
        <v>20</v>
      </c>
      <c r="P14" t="s">
        <v>20</v>
      </c>
      <c r="Q14">
        <v>0.61304822126374803</v>
      </c>
      <c r="R14">
        <v>0.86373745977664196</v>
      </c>
      <c r="S14">
        <v>0.75559266083127896</v>
      </c>
      <c r="T14">
        <v>0.58212745677005096</v>
      </c>
      <c r="U14" s="9">
        <v>9</v>
      </c>
      <c r="V14">
        <v>2</v>
      </c>
      <c r="W14">
        <v>2</v>
      </c>
      <c r="X14" s="12" t="b">
        <f t="shared" si="27"/>
        <v>1</v>
      </c>
      <c r="Y14" s="12" t="b">
        <f t="shared" si="28"/>
        <v>1</v>
      </c>
      <c r="Z14" s="12" t="b">
        <f t="shared" si="29"/>
        <v>1</v>
      </c>
      <c r="AA14" s="15" t="b">
        <f t="shared" si="7"/>
        <v>1</v>
      </c>
      <c r="AB14" s="16" t="b">
        <f t="shared" si="8"/>
        <v>0</v>
      </c>
      <c r="AC14" s="16" t="b">
        <f t="shared" si="9"/>
        <v>0</v>
      </c>
      <c r="AD14" s="9">
        <v>5</v>
      </c>
      <c r="AE14">
        <v>0</v>
      </c>
      <c r="AF14">
        <v>0</v>
      </c>
      <c r="AG14" s="12" t="b">
        <f t="shared" si="32"/>
        <v>1</v>
      </c>
      <c r="AH14" s="12" t="b">
        <f t="shared" si="33"/>
        <v>0</v>
      </c>
      <c r="AI14" s="12" t="b">
        <f t="shared" si="34"/>
        <v>0</v>
      </c>
      <c r="AJ14" s="15" t="b">
        <f t="shared" si="11"/>
        <v>1</v>
      </c>
      <c r="AK14" s="16" t="b">
        <f t="shared" si="12"/>
        <v>0</v>
      </c>
      <c r="AL14" s="16" t="b">
        <f t="shared" si="13"/>
        <v>0</v>
      </c>
      <c r="AM14" s="9">
        <v>0</v>
      </c>
      <c r="AN14">
        <v>0</v>
      </c>
      <c r="AO14">
        <v>0</v>
      </c>
      <c r="AP14" s="12" t="b">
        <f t="shared" si="35"/>
        <v>0</v>
      </c>
      <c r="AQ14" s="12" t="b">
        <f t="shared" si="36"/>
        <v>0</v>
      </c>
      <c r="AR14" s="12" t="b">
        <f t="shared" si="37"/>
        <v>0</v>
      </c>
      <c r="AS14" s="15" t="b">
        <f t="shared" si="15"/>
        <v>0</v>
      </c>
      <c r="AT14" s="16" t="b">
        <f t="shared" si="16"/>
        <v>0</v>
      </c>
      <c r="AU14" s="16" t="b">
        <f t="shared" si="17"/>
        <v>0</v>
      </c>
      <c r="AV14" s="21" t="b">
        <v>1</v>
      </c>
      <c r="AW14" s="12" t="b">
        <v>0</v>
      </c>
      <c r="AX14" s="12" t="b">
        <v>0</v>
      </c>
      <c r="AY14" s="15" t="b">
        <f t="shared" si="18"/>
        <v>1</v>
      </c>
      <c r="AZ14" s="16" t="b">
        <f t="shared" si="19"/>
        <v>0</v>
      </c>
      <c r="BA14" s="16" t="b">
        <f t="shared" si="20"/>
        <v>0</v>
      </c>
      <c r="BB14" s="21" t="b">
        <v>0</v>
      </c>
      <c r="BC14" s="12" t="b">
        <v>0</v>
      </c>
      <c r="BD14" s="12" t="b">
        <v>0</v>
      </c>
      <c r="BE14" s="15" t="b">
        <f t="shared" si="21"/>
        <v>0</v>
      </c>
      <c r="BF14" s="16" t="b">
        <f t="shared" si="22"/>
        <v>0</v>
      </c>
      <c r="BG14" s="16" t="b">
        <f t="shared" si="23"/>
        <v>0</v>
      </c>
      <c r="BH14" s="21" t="b">
        <v>1</v>
      </c>
      <c r="BI14" s="12" t="b">
        <v>0</v>
      </c>
      <c r="BJ14" s="12" t="b">
        <v>0</v>
      </c>
      <c r="BK14" s="15" t="b">
        <f t="shared" si="24"/>
        <v>1</v>
      </c>
      <c r="BL14" s="16" t="b">
        <f t="shared" si="25"/>
        <v>0</v>
      </c>
      <c r="BM14" s="16" t="b">
        <f t="shared" si="26"/>
        <v>0</v>
      </c>
    </row>
    <row r="15" spans="1:65" x14ac:dyDescent="0.2">
      <c r="A15" s="2" t="s">
        <v>7</v>
      </c>
      <c r="B15" t="b">
        <f t="shared" si="30"/>
        <v>1</v>
      </c>
      <c r="C15" t="b">
        <f t="shared" si="31"/>
        <v>1</v>
      </c>
      <c r="D15" t="b">
        <f t="shared" si="1"/>
        <v>1</v>
      </c>
      <c r="E15">
        <v>4</v>
      </c>
      <c r="F15" t="b">
        <v>1</v>
      </c>
      <c r="G15" t="b">
        <v>0</v>
      </c>
      <c r="H15" t="b">
        <v>0</v>
      </c>
      <c r="I15">
        <v>0.66368387593699196</v>
      </c>
      <c r="J15">
        <v>0.94230572057707096</v>
      </c>
      <c r="K15">
        <v>0.79286793890099305</v>
      </c>
      <c r="L15">
        <v>0.60410646029973802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  <c r="S15" t="s">
        <v>20</v>
      </c>
      <c r="T15" t="s">
        <v>20</v>
      </c>
      <c r="U15" s="9">
        <v>9</v>
      </c>
      <c r="V15">
        <v>1</v>
      </c>
      <c r="W15">
        <v>1</v>
      </c>
      <c r="X15" s="12" t="b">
        <f t="shared" si="27"/>
        <v>1</v>
      </c>
      <c r="Y15" s="12" t="b">
        <f t="shared" si="28"/>
        <v>1</v>
      </c>
      <c r="Z15" s="12" t="b">
        <f t="shared" si="29"/>
        <v>1</v>
      </c>
      <c r="AA15" s="15" t="b">
        <f t="shared" si="7"/>
        <v>1</v>
      </c>
      <c r="AB15" s="16" t="b">
        <f t="shared" si="8"/>
        <v>0</v>
      </c>
      <c r="AC15" s="16" t="b">
        <f t="shared" si="9"/>
        <v>0</v>
      </c>
      <c r="AD15" s="9">
        <v>5</v>
      </c>
      <c r="AE15">
        <v>0</v>
      </c>
      <c r="AF15">
        <v>0</v>
      </c>
      <c r="AG15" s="12" t="b">
        <f t="shared" si="32"/>
        <v>1</v>
      </c>
      <c r="AH15" s="12" t="b">
        <f t="shared" si="33"/>
        <v>0</v>
      </c>
      <c r="AI15" s="12" t="b">
        <f t="shared" si="34"/>
        <v>0</v>
      </c>
      <c r="AJ15" s="15" t="b">
        <f t="shared" si="11"/>
        <v>1</v>
      </c>
      <c r="AK15" s="16" t="b">
        <f t="shared" si="12"/>
        <v>0</v>
      </c>
      <c r="AL15" s="16" t="b">
        <f t="shared" si="13"/>
        <v>0</v>
      </c>
      <c r="AM15" s="9">
        <v>0</v>
      </c>
      <c r="AN15">
        <v>0</v>
      </c>
      <c r="AO15">
        <v>0</v>
      </c>
      <c r="AP15" s="12" t="b">
        <f t="shared" si="35"/>
        <v>0</v>
      </c>
      <c r="AQ15" s="12" t="b">
        <f t="shared" si="36"/>
        <v>0</v>
      </c>
      <c r="AR15" s="12" t="b">
        <f t="shared" si="37"/>
        <v>0</v>
      </c>
      <c r="AS15" s="15" t="b">
        <f t="shared" si="15"/>
        <v>0</v>
      </c>
      <c r="AT15" s="16" t="b">
        <f t="shared" si="16"/>
        <v>0</v>
      </c>
      <c r="AU15" s="16" t="b">
        <f t="shared" si="17"/>
        <v>0</v>
      </c>
      <c r="AV15" s="21" t="b">
        <v>1</v>
      </c>
      <c r="AW15" s="12" t="b">
        <v>0</v>
      </c>
      <c r="AX15" s="12" t="b">
        <v>0</v>
      </c>
      <c r="AY15" s="15" t="b">
        <f t="shared" si="18"/>
        <v>1</v>
      </c>
      <c r="AZ15" s="16" t="b">
        <f t="shared" si="19"/>
        <v>0</v>
      </c>
      <c r="BA15" s="16" t="b">
        <f t="shared" si="20"/>
        <v>0</v>
      </c>
      <c r="BB15" s="21" t="b">
        <v>0</v>
      </c>
      <c r="BC15" s="12" t="b">
        <v>0</v>
      </c>
      <c r="BD15" s="12" t="b">
        <v>0</v>
      </c>
      <c r="BE15" s="15" t="b">
        <f t="shared" si="21"/>
        <v>0</v>
      </c>
      <c r="BF15" s="16" t="b">
        <f t="shared" si="22"/>
        <v>0</v>
      </c>
      <c r="BG15" s="16" t="b">
        <f t="shared" si="23"/>
        <v>0</v>
      </c>
      <c r="BH15" s="21" t="b">
        <v>1</v>
      </c>
      <c r="BI15" s="12" t="b">
        <v>0</v>
      </c>
      <c r="BJ15" s="12" t="b">
        <v>0</v>
      </c>
      <c r="BK15" s="15" t="b">
        <f t="shared" si="24"/>
        <v>1</v>
      </c>
      <c r="BL15" s="16" t="b">
        <f t="shared" si="25"/>
        <v>0</v>
      </c>
      <c r="BM15" s="16" t="b">
        <f t="shared" si="26"/>
        <v>0</v>
      </c>
    </row>
    <row r="16" spans="1:65" x14ac:dyDescent="0.2">
      <c r="A16" s="2" t="s">
        <v>7</v>
      </c>
      <c r="B16" t="b">
        <f t="shared" si="30"/>
        <v>1</v>
      </c>
      <c r="C16" t="b">
        <f t="shared" si="31"/>
        <v>0</v>
      </c>
      <c r="D16" t="b">
        <f t="shared" si="1"/>
        <v>1</v>
      </c>
      <c r="E16">
        <v>5</v>
      </c>
      <c r="F16" t="b">
        <v>1</v>
      </c>
      <c r="G16" t="b">
        <v>1</v>
      </c>
      <c r="H16" t="b">
        <v>1</v>
      </c>
      <c r="I16">
        <v>0.57167389530049195</v>
      </c>
      <c r="J16">
        <v>0.94090237016601297</v>
      </c>
      <c r="K16">
        <v>0.72594102458045595</v>
      </c>
      <c r="L16">
        <v>0.52843320060385501</v>
      </c>
      <c r="M16" t="s">
        <v>20</v>
      </c>
      <c r="N16" t="s">
        <v>20</v>
      </c>
      <c r="O16" t="s">
        <v>20</v>
      </c>
      <c r="P16" t="s">
        <v>20</v>
      </c>
      <c r="Q16">
        <v>0.53704266218268704</v>
      </c>
      <c r="R16">
        <v>0.82350836205690903</v>
      </c>
      <c r="S16">
        <v>0.69782753730525104</v>
      </c>
      <c r="T16">
        <v>0.51462587767873402</v>
      </c>
      <c r="U16" s="9">
        <v>9</v>
      </c>
      <c r="V16">
        <v>0</v>
      </c>
      <c r="W16">
        <v>0</v>
      </c>
      <c r="X16" s="12" t="b">
        <f t="shared" si="27"/>
        <v>1</v>
      </c>
      <c r="Y16" s="12" t="b">
        <f t="shared" si="28"/>
        <v>0</v>
      </c>
      <c r="Z16" s="12" t="b">
        <f t="shared" si="29"/>
        <v>0</v>
      </c>
      <c r="AA16" s="15" t="b">
        <f t="shared" si="7"/>
        <v>1</v>
      </c>
      <c r="AB16" s="16" t="b">
        <f t="shared" si="8"/>
        <v>0</v>
      </c>
      <c r="AC16" s="16" t="b">
        <f t="shared" si="9"/>
        <v>0</v>
      </c>
      <c r="AD16" s="9">
        <v>5</v>
      </c>
      <c r="AE16">
        <v>1</v>
      </c>
      <c r="AF16">
        <v>0</v>
      </c>
      <c r="AG16" s="12" t="b">
        <f t="shared" si="32"/>
        <v>1</v>
      </c>
      <c r="AH16" s="12" t="b">
        <f t="shared" si="33"/>
        <v>1</v>
      </c>
      <c r="AI16" s="12" t="b">
        <f t="shared" si="34"/>
        <v>0</v>
      </c>
      <c r="AJ16" s="15" t="b">
        <f t="shared" si="11"/>
        <v>1</v>
      </c>
      <c r="AK16" s="16" t="b">
        <f t="shared" si="12"/>
        <v>1</v>
      </c>
      <c r="AL16" s="16" t="b">
        <f t="shared" si="13"/>
        <v>0</v>
      </c>
      <c r="AM16" s="9">
        <v>0</v>
      </c>
      <c r="AN16">
        <v>0</v>
      </c>
      <c r="AO16">
        <v>0</v>
      </c>
      <c r="AP16" s="12" t="b">
        <f t="shared" si="35"/>
        <v>0</v>
      </c>
      <c r="AQ16" s="12" t="b">
        <f t="shared" si="36"/>
        <v>0</v>
      </c>
      <c r="AR16" s="12" t="b">
        <f t="shared" si="37"/>
        <v>0</v>
      </c>
      <c r="AS16" s="15" t="b">
        <f t="shared" si="15"/>
        <v>0</v>
      </c>
      <c r="AT16" s="16" t="b">
        <f t="shared" si="16"/>
        <v>0</v>
      </c>
      <c r="AU16" s="16" t="b">
        <f t="shared" si="17"/>
        <v>0</v>
      </c>
      <c r="AV16" s="21" t="b">
        <v>1</v>
      </c>
      <c r="AW16" s="12" t="b">
        <v>1</v>
      </c>
      <c r="AX16" s="12" t="b">
        <v>1</v>
      </c>
      <c r="AY16" s="15" t="b">
        <f t="shared" si="18"/>
        <v>1</v>
      </c>
      <c r="AZ16" s="16" t="b">
        <f t="shared" si="19"/>
        <v>1</v>
      </c>
      <c r="BA16" s="16" t="b">
        <f t="shared" si="20"/>
        <v>1</v>
      </c>
      <c r="BB16" s="21" t="b">
        <v>0</v>
      </c>
      <c r="BC16" s="12" t="b">
        <v>0</v>
      </c>
      <c r="BD16" s="12" t="b">
        <v>0</v>
      </c>
      <c r="BE16" s="15" t="b">
        <f t="shared" si="21"/>
        <v>0</v>
      </c>
      <c r="BF16" s="16" t="b">
        <f t="shared" si="22"/>
        <v>0</v>
      </c>
      <c r="BG16" s="16" t="b">
        <f t="shared" si="23"/>
        <v>0</v>
      </c>
      <c r="BH16" s="21" t="b">
        <v>1</v>
      </c>
      <c r="BI16" s="12" t="b">
        <v>1</v>
      </c>
      <c r="BJ16" s="12" t="b">
        <v>1</v>
      </c>
      <c r="BK16" s="15" t="b">
        <f t="shared" si="24"/>
        <v>1</v>
      </c>
      <c r="BL16" s="16" t="b">
        <f t="shared" si="25"/>
        <v>1</v>
      </c>
      <c r="BM16" s="16" t="b">
        <f t="shared" si="26"/>
        <v>1</v>
      </c>
    </row>
    <row r="17" spans="1:65" x14ac:dyDescent="0.2">
      <c r="A17" s="2" t="s">
        <v>7</v>
      </c>
      <c r="B17" t="b">
        <f t="shared" si="30"/>
        <v>1</v>
      </c>
      <c r="C17" t="b">
        <f t="shared" si="31"/>
        <v>0</v>
      </c>
      <c r="D17" t="b">
        <f t="shared" si="1"/>
        <v>1</v>
      </c>
      <c r="E17">
        <v>6</v>
      </c>
      <c r="F17" t="b">
        <v>1</v>
      </c>
      <c r="G17" t="b">
        <v>1</v>
      </c>
      <c r="H17" t="b">
        <v>1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  <c r="S17" t="s">
        <v>20</v>
      </c>
      <c r="T17" t="s">
        <v>20</v>
      </c>
      <c r="U17" s="9">
        <v>9</v>
      </c>
      <c r="V17">
        <v>0</v>
      </c>
      <c r="W17">
        <v>0</v>
      </c>
      <c r="X17" s="12" t="b">
        <f t="shared" si="27"/>
        <v>1</v>
      </c>
      <c r="Y17" s="12" t="b">
        <f t="shared" si="28"/>
        <v>0</v>
      </c>
      <c r="Z17" s="12" t="b">
        <f t="shared" si="29"/>
        <v>0</v>
      </c>
      <c r="AA17" s="15" t="b">
        <f t="shared" si="7"/>
        <v>1</v>
      </c>
      <c r="AB17" s="16" t="b">
        <f t="shared" si="8"/>
        <v>0</v>
      </c>
      <c r="AC17" s="16" t="b">
        <f t="shared" si="9"/>
        <v>0</v>
      </c>
      <c r="AD17" s="9">
        <v>5</v>
      </c>
      <c r="AE17">
        <v>3</v>
      </c>
      <c r="AF17">
        <v>0</v>
      </c>
      <c r="AG17" s="12" t="b">
        <f t="shared" si="32"/>
        <v>1</v>
      </c>
      <c r="AH17" s="12" t="b">
        <f t="shared" si="33"/>
        <v>1</v>
      </c>
      <c r="AI17" s="12" t="b">
        <f t="shared" si="34"/>
        <v>0</v>
      </c>
      <c r="AJ17" s="15" t="b">
        <f t="shared" si="11"/>
        <v>1</v>
      </c>
      <c r="AK17" s="16" t="b">
        <f t="shared" si="12"/>
        <v>1</v>
      </c>
      <c r="AL17" s="16" t="b">
        <f t="shared" si="13"/>
        <v>0</v>
      </c>
      <c r="AM17" s="9">
        <v>0</v>
      </c>
      <c r="AN17">
        <v>0</v>
      </c>
      <c r="AO17">
        <v>0</v>
      </c>
      <c r="AP17" s="12" t="b">
        <f t="shared" si="35"/>
        <v>0</v>
      </c>
      <c r="AQ17" s="12" t="b">
        <f t="shared" si="36"/>
        <v>0</v>
      </c>
      <c r="AR17" s="12" t="b">
        <f t="shared" si="37"/>
        <v>0</v>
      </c>
      <c r="AS17" s="15" t="b">
        <f t="shared" si="15"/>
        <v>0</v>
      </c>
      <c r="AT17" s="16" t="b">
        <f t="shared" si="16"/>
        <v>0</v>
      </c>
      <c r="AU17" s="16" t="b">
        <f t="shared" si="17"/>
        <v>0</v>
      </c>
      <c r="AV17" s="21" t="b">
        <v>1</v>
      </c>
      <c r="AW17" s="12" t="b">
        <v>0</v>
      </c>
      <c r="AX17" s="12" t="b">
        <v>0</v>
      </c>
      <c r="AY17" s="15" t="b">
        <f t="shared" si="18"/>
        <v>1</v>
      </c>
      <c r="AZ17" s="16" t="b">
        <f t="shared" si="19"/>
        <v>0</v>
      </c>
      <c r="BA17" s="16" t="b">
        <f t="shared" si="20"/>
        <v>0</v>
      </c>
      <c r="BB17" s="21" t="b">
        <v>0</v>
      </c>
      <c r="BC17" s="12" t="b">
        <v>0</v>
      </c>
      <c r="BD17" s="12" t="b">
        <v>0</v>
      </c>
      <c r="BE17" s="15" t="b">
        <f t="shared" si="21"/>
        <v>0</v>
      </c>
      <c r="BF17" s="16" t="b">
        <f t="shared" si="22"/>
        <v>0</v>
      </c>
      <c r="BG17" s="16" t="b">
        <f t="shared" si="23"/>
        <v>0</v>
      </c>
      <c r="BH17" s="21" t="b">
        <v>1</v>
      </c>
      <c r="BI17" s="12" t="b">
        <v>0</v>
      </c>
      <c r="BJ17" s="12" t="b">
        <v>0</v>
      </c>
      <c r="BK17" s="15" t="b">
        <f t="shared" si="24"/>
        <v>1</v>
      </c>
      <c r="BL17" s="16" t="b">
        <f t="shared" si="25"/>
        <v>0</v>
      </c>
      <c r="BM17" s="16" t="b">
        <f t="shared" si="26"/>
        <v>0</v>
      </c>
    </row>
    <row r="18" spans="1:65" x14ac:dyDescent="0.2">
      <c r="A18" s="2" t="s">
        <v>7</v>
      </c>
      <c r="B18" t="b">
        <f t="shared" si="30"/>
        <v>0</v>
      </c>
      <c r="C18" t="b">
        <f t="shared" si="31"/>
        <v>0</v>
      </c>
      <c r="D18" t="b">
        <f t="shared" si="1"/>
        <v>1</v>
      </c>
      <c r="E18">
        <v>7</v>
      </c>
      <c r="F18" t="b">
        <v>1</v>
      </c>
      <c r="G18" t="b">
        <v>0</v>
      </c>
      <c r="H18" t="b">
        <v>0</v>
      </c>
      <c r="I18">
        <v>0.21727135727703401</v>
      </c>
      <c r="J18">
        <v>0.98160049306351105</v>
      </c>
      <c r="K18">
        <v>0.32209478531393698</v>
      </c>
      <c r="L18">
        <v>0.174334162977236</v>
      </c>
      <c r="M18" t="s">
        <v>20</v>
      </c>
      <c r="N18" t="s">
        <v>20</v>
      </c>
      <c r="O18" t="s">
        <v>20</v>
      </c>
      <c r="P18" t="s">
        <v>20</v>
      </c>
      <c r="Q18">
        <v>0.21643763213530601</v>
      </c>
      <c r="R18">
        <v>0.56236786469344602</v>
      </c>
      <c r="S18">
        <v>0.32392529950669402</v>
      </c>
      <c r="T18">
        <v>0.16005990133897099</v>
      </c>
      <c r="U18" s="9">
        <v>9</v>
      </c>
      <c r="V18">
        <v>0</v>
      </c>
      <c r="W18">
        <v>0</v>
      </c>
      <c r="X18" s="12" t="b">
        <f t="shared" si="27"/>
        <v>1</v>
      </c>
      <c r="Y18" s="12" t="b">
        <f t="shared" si="28"/>
        <v>0</v>
      </c>
      <c r="Z18" s="12" t="b">
        <f t="shared" si="29"/>
        <v>0</v>
      </c>
      <c r="AA18" s="15" t="b">
        <f t="shared" si="7"/>
        <v>1</v>
      </c>
      <c r="AB18" s="16" t="b">
        <f t="shared" si="8"/>
        <v>0</v>
      </c>
      <c r="AC18" s="16" t="b">
        <f t="shared" si="9"/>
        <v>0</v>
      </c>
      <c r="AD18" s="9">
        <v>5</v>
      </c>
      <c r="AE18">
        <v>0</v>
      </c>
      <c r="AF18">
        <v>0</v>
      </c>
      <c r="AG18" s="12" t="b">
        <f t="shared" si="32"/>
        <v>1</v>
      </c>
      <c r="AH18" s="12" t="b">
        <f t="shared" si="33"/>
        <v>0</v>
      </c>
      <c r="AI18" s="12" t="b">
        <f t="shared" si="34"/>
        <v>0</v>
      </c>
      <c r="AJ18" s="15" t="b">
        <f t="shared" si="11"/>
        <v>1</v>
      </c>
      <c r="AK18" s="16" t="b">
        <f t="shared" si="12"/>
        <v>0</v>
      </c>
      <c r="AL18" s="16" t="b">
        <f t="shared" si="13"/>
        <v>0</v>
      </c>
      <c r="AM18" s="9">
        <v>0</v>
      </c>
      <c r="AN18">
        <v>0</v>
      </c>
      <c r="AO18">
        <v>0</v>
      </c>
      <c r="AP18" s="12" t="b">
        <f t="shared" si="35"/>
        <v>0</v>
      </c>
      <c r="AQ18" s="12" t="b">
        <f t="shared" si="36"/>
        <v>0</v>
      </c>
      <c r="AR18" s="12" t="b">
        <f t="shared" si="37"/>
        <v>0</v>
      </c>
      <c r="AS18" s="15" t="b">
        <f t="shared" si="15"/>
        <v>0</v>
      </c>
      <c r="AT18" s="16" t="b">
        <f t="shared" si="16"/>
        <v>0</v>
      </c>
      <c r="AU18" s="16" t="b">
        <f t="shared" si="17"/>
        <v>0</v>
      </c>
      <c r="AV18" s="21" t="b">
        <v>1</v>
      </c>
      <c r="AW18" s="12" t="b">
        <v>1</v>
      </c>
      <c r="AX18" s="12" t="b">
        <v>1</v>
      </c>
      <c r="AY18" s="15" t="b">
        <f t="shared" si="18"/>
        <v>1</v>
      </c>
      <c r="AZ18" s="16" t="b">
        <f t="shared" si="19"/>
        <v>0</v>
      </c>
      <c r="BA18" s="16" t="b">
        <f t="shared" si="20"/>
        <v>0</v>
      </c>
      <c r="BB18" s="21" t="b">
        <v>0</v>
      </c>
      <c r="BC18" s="12" t="b">
        <v>0</v>
      </c>
      <c r="BD18" s="12" t="b">
        <v>0</v>
      </c>
      <c r="BE18" s="15" t="b">
        <f t="shared" si="21"/>
        <v>0</v>
      </c>
      <c r="BF18" s="16" t="b">
        <f t="shared" si="22"/>
        <v>0</v>
      </c>
      <c r="BG18" s="16" t="b">
        <f t="shared" si="23"/>
        <v>0</v>
      </c>
      <c r="BH18" s="21" t="b">
        <v>1</v>
      </c>
      <c r="BI18" s="12" t="b">
        <v>1</v>
      </c>
      <c r="BJ18" s="12" t="b">
        <v>1</v>
      </c>
      <c r="BK18" s="15" t="b">
        <f t="shared" si="24"/>
        <v>1</v>
      </c>
      <c r="BL18" s="16" t="b">
        <f t="shared" si="25"/>
        <v>0</v>
      </c>
      <c r="BM18" s="16" t="b">
        <f t="shared" si="26"/>
        <v>0</v>
      </c>
    </row>
    <row r="19" spans="1:65" s="4" customFormat="1" x14ac:dyDescent="0.2">
      <c r="A19" s="3" t="s">
        <v>7</v>
      </c>
      <c r="B19" s="4" t="b">
        <f t="shared" si="30"/>
        <v>1</v>
      </c>
      <c r="C19" s="4" t="b">
        <f t="shared" si="31"/>
        <v>1</v>
      </c>
      <c r="D19" s="4" t="b">
        <f t="shared" si="1"/>
        <v>1</v>
      </c>
      <c r="E19" s="4">
        <v>8</v>
      </c>
      <c r="F19" s="4" t="b">
        <v>0</v>
      </c>
      <c r="G19" s="4" t="b">
        <v>0</v>
      </c>
      <c r="H19" s="4" t="b">
        <v>0</v>
      </c>
      <c r="I19" s="4">
        <v>0.49658247064568001</v>
      </c>
      <c r="J19" s="4">
        <v>0.82527808216680199</v>
      </c>
      <c r="K19" s="4">
        <v>0.65585835502137302</v>
      </c>
      <c r="L19" s="4">
        <v>0.46796532700204102</v>
      </c>
      <c r="M19" s="4" t="s">
        <v>20</v>
      </c>
      <c r="N19" s="4" t="s">
        <v>20</v>
      </c>
      <c r="O19" s="4" t="s">
        <v>20</v>
      </c>
      <c r="P19" s="4" t="s">
        <v>20</v>
      </c>
      <c r="Q19" s="4">
        <v>0.466701902748414</v>
      </c>
      <c r="R19" s="4">
        <v>0.77712915338739696</v>
      </c>
      <c r="S19" s="4">
        <v>0.63131782103990097</v>
      </c>
      <c r="T19" s="4">
        <v>0.466701902748414</v>
      </c>
      <c r="U19" s="10">
        <v>1</v>
      </c>
      <c r="V19" s="4">
        <v>1</v>
      </c>
      <c r="W19" s="4">
        <v>1</v>
      </c>
      <c r="X19" s="13" t="b">
        <f t="shared" si="27"/>
        <v>1</v>
      </c>
      <c r="Y19" s="13" t="b">
        <f t="shared" si="28"/>
        <v>1</v>
      </c>
      <c r="Z19" s="13" t="b">
        <f t="shared" si="29"/>
        <v>1</v>
      </c>
      <c r="AA19" s="17" t="b">
        <f t="shared" si="7"/>
        <v>0</v>
      </c>
      <c r="AB19" s="18" t="b">
        <f t="shared" si="8"/>
        <v>0</v>
      </c>
      <c r="AC19" s="18" t="b">
        <f t="shared" si="9"/>
        <v>0</v>
      </c>
      <c r="AD19" s="10">
        <v>12</v>
      </c>
      <c r="AE19" s="4">
        <v>11</v>
      </c>
      <c r="AF19" s="4">
        <v>0</v>
      </c>
      <c r="AG19" s="13" t="b">
        <f t="shared" si="32"/>
        <v>1</v>
      </c>
      <c r="AH19" s="13" t="b">
        <f t="shared" si="33"/>
        <v>1</v>
      </c>
      <c r="AI19" s="13" t="b">
        <f t="shared" si="34"/>
        <v>0</v>
      </c>
      <c r="AJ19" s="17" t="b">
        <f t="shared" si="11"/>
        <v>0</v>
      </c>
      <c r="AK19" s="18" t="b">
        <f t="shared" si="12"/>
        <v>0</v>
      </c>
      <c r="AL19" s="18" t="b">
        <f t="shared" si="13"/>
        <v>0</v>
      </c>
      <c r="AM19" s="10">
        <v>3</v>
      </c>
      <c r="AN19" s="4">
        <v>3</v>
      </c>
      <c r="AO19" s="4">
        <v>0</v>
      </c>
      <c r="AP19" s="13" t="b">
        <f t="shared" si="35"/>
        <v>1</v>
      </c>
      <c r="AQ19" s="13" t="b">
        <f t="shared" si="36"/>
        <v>1</v>
      </c>
      <c r="AR19" s="13" t="b">
        <f t="shared" si="37"/>
        <v>0</v>
      </c>
      <c r="AS19" s="17" t="b">
        <f t="shared" si="15"/>
        <v>0</v>
      </c>
      <c r="AT19" s="18" t="b">
        <f t="shared" si="16"/>
        <v>0</v>
      </c>
      <c r="AU19" s="18" t="b">
        <f t="shared" si="17"/>
        <v>0</v>
      </c>
      <c r="AV19" s="23" t="b">
        <v>1</v>
      </c>
      <c r="AW19" s="13" t="b">
        <v>1</v>
      </c>
      <c r="AX19" s="13" t="b">
        <v>1</v>
      </c>
      <c r="AY19" s="17" t="b">
        <f t="shared" si="18"/>
        <v>0</v>
      </c>
      <c r="AZ19" s="18" t="b">
        <f t="shared" si="19"/>
        <v>0</v>
      </c>
      <c r="BA19" s="18" t="b">
        <f t="shared" si="20"/>
        <v>0</v>
      </c>
      <c r="BB19" s="23" t="b">
        <v>0</v>
      </c>
      <c r="BC19" s="13" t="b">
        <v>0</v>
      </c>
      <c r="BD19" s="13" t="b">
        <v>0</v>
      </c>
      <c r="BE19" s="17" t="b">
        <f t="shared" si="21"/>
        <v>0</v>
      </c>
      <c r="BF19" s="18" t="b">
        <f t="shared" si="22"/>
        <v>0</v>
      </c>
      <c r="BG19" s="18" t="b">
        <f t="shared" si="23"/>
        <v>0</v>
      </c>
      <c r="BH19" s="23" t="b">
        <v>1</v>
      </c>
      <c r="BI19" s="13" t="b">
        <v>1</v>
      </c>
      <c r="BJ19" s="13" t="b">
        <v>1</v>
      </c>
      <c r="BK19" s="17" t="b">
        <f t="shared" si="24"/>
        <v>0</v>
      </c>
      <c r="BL19" s="18" t="b">
        <f t="shared" si="25"/>
        <v>0</v>
      </c>
      <c r="BM19" s="18" t="b">
        <f t="shared" si="26"/>
        <v>0</v>
      </c>
    </row>
    <row r="20" spans="1:65" x14ac:dyDescent="0.2">
      <c r="A20" s="2" t="s">
        <v>8</v>
      </c>
      <c r="B20" t="b">
        <f t="shared" si="30"/>
        <v>1</v>
      </c>
      <c r="C20" t="b">
        <f t="shared" si="31"/>
        <v>0</v>
      </c>
      <c r="D20" t="b">
        <f t="shared" si="1"/>
        <v>1</v>
      </c>
      <c r="E20">
        <v>0</v>
      </c>
      <c r="F20" t="b">
        <v>1</v>
      </c>
      <c r="G20" t="b">
        <v>1</v>
      </c>
      <c r="H20" t="b">
        <v>1</v>
      </c>
      <c r="I20">
        <v>0.89482908577344999</v>
      </c>
      <c r="J20">
        <v>0.99872797423946502</v>
      </c>
      <c r="K20">
        <v>0.92327572646591205</v>
      </c>
      <c r="L20">
        <v>0.87728457371804203</v>
      </c>
      <c r="M20">
        <v>0.914618413455622</v>
      </c>
      <c r="N20">
        <v>0.99424141749723105</v>
      </c>
      <c r="O20">
        <v>0.93659287064602603</v>
      </c>
      <c r="P20">
        <v>0.898971681695934</v>
      </c>
      <c r="U20" s="9">
        <v>0</v>
      </c>
      <c r="V20">
        <v>0</v>
      </c>
      <c r="W20">
        <v>0</v>
      </c>
      <c r="X20" s="12" t="b">
        <f t="shared" si="27"/>
        <v>0</v>
      </c>
      <c r="Y20" s="12" t="b">
        <f t="shared" si="28"/>
        <v>0</v>
      </c>
      <c r="Z20" s="12" t="b">
        <f t="shared" si="29"/>
        <v>0</v>
      </c>
      <c r="AA20" s="15" t="b">
        <f t="shared" si="7"/>
        <v>0</v>
      </c>
      <c r="AB20" s="16" t="b">
        <f t="shared" si="8"/>
        <v>0</v>
      </c>
      <c r="AC20" s="16" t="b">
        <f t="shared" si="9"/>
        <v>0</v>
      </c>
      <c r="AD20" s="9">
        <v>1</v>
      </c>
      <c r="AE20">
        <v>1</v>
      </c>
      <c r="AF20">
        <v>0</v>
      </c>
      <c r="AG20" s="12" t="b">
        <f t="shared" si="32"/>
        <v>1</v>
      </c>
      <c r="AH20" s="12" t="b">
        <f t="shared" si="33"/>
        <v>1</v>
      </c>
      <c r="AI20" s="12" t="b">
        <f t="shared" si="34"/>
        <v>0</v>
      </c>
      <c r="AJ20" s="15" t="b">
        <f t="shared" si="11"/>
        <v>1</v>
      </c>
      <c r="AK20" s="16" t="b">
        <f t="shared" si="12"/>
        <v>1</v>
      </c>
      <c r="AL20" s="16" t="b">
        <f t="shared" si="13"/>
        <v>0</v>
      </c>
      <c r="AM20" s="9">
        <v>0</v>
      </c>
      <c r="AN20">
        <v>0</v>
      </c>
      <c r="AO20">
        <v>0</v>
      </c>
      <c r="AP20" s="12" t="b">
        <f t="shared" si="35"/>
        <v>0</v>
      </c>
      <c r="AQ20" s="12" t="b">
        <f t="shared" si="36"/>
        <v>0</v>
      </c>
      <c r="AR20" s="12" t="b">
        <f t="shared" si="37"/>
        <v>0</v>
      </c>
      <c r="AS20" s="15" t="b">
        <f t="shared" si="15"/>
        <v>0</v>
      </c>
      <c r="AT20" s="16" t="b">
        <f t="shared" si="16"/>
        <v>0</v>
      </c>
      <c r="AU20" s="16" t="b">
        <f t="shared" si="17"/>
        <v>0</v>
      </c>
      <c r="AV20" s="21" t="b">
        <v>1</v>
      </c>
      <c r="AW20" s="22" t="b">
        <v>1</v>
      </c>
      <c r="AX20" s="22" t="b">
        <v>1</v>
      </c>
      <c r="AY20" s="15" t="b">
        <f t="shared" si="18"/>
        <v>1</v>
      </c>
      <c r="AZ20" s="16" t="b">
        <f t="shared" si="19"/>
        <v>1</v>
      </c>
      <c r="BA20" s="16" t="b">
        <f t="shared" si="20"/>
        <v>1</v>
      </c>
      <c r="BB20" s="21" t="b">
        <v>1</v>
      </c>
      <c r="BC20" s="12" t="b">
        <v>1</v>
      </c>
      <c r="BD20" s="12" t="b">
        <v>1</v>
      </c>
      <c r="BE20" s="15" t="b">
        <f t="shared" si="21"/>
        <v>1</v>
      </c>
      <c r="BF20" s="16" t="b">
        <f t="shared" si="22"/>
        <v>1</v>
      </c>
      <c r="BG20" s="16" t="b">
        <f t="shared" si="23"/>
        <v>1</v>
      </c>
      <c r="BH20" s="21" t="b">
        <v>0</v>
      </c>
      <c r="BI20" s="22" t="b">
        <v>0</v>
      </c>
      <c r="BJ20" s="22" t="b">
        <v>0</v>
      </c>
      <c r="BK20" s="15" t="b">
        <f t="shared" si="24"/>
        <v>0</v>
      </c>
      <c r="BL20" s="16" t="b">
        <f t="shared" si="25"/>
        <v>0</v>
      </c>
      <c r="BM20" s="16" t="b">
        <f t="shared" si="26"/>
        <v>0</v>
      </c>
    </row>
    <row r="21" spans="1:65" x14ac:dyDescent="0.2">
      <c r="A21" s="2" t="s">
        <v>8</v>
      </c>
      <c r="B21" t="b">
        <f t="shared" si="30"/>
        <v>1</v>
      </c>
      <c r="C21" t="b">
        <f t="shared" si="31"/>
        <v>0</v>
      </c>
      <c r="D21" t="b">
        <f t="shared" si="1"/>
        <v>1</v>
      </c>
      <c r="E21">
        <v>1</v>
      </c>
      <c r="F21" t="b">
        <v>1</v>
      </c>
      <c r="G21" t="b">
        <v>1</v>
      </c>
      <c r="H21" t="b">
        <v>0</v>
      </c>
      <c r="I21">
        <v>0.467093370829118</v>
      </c>
      <c r="J21">
        <v>0.96508489296370603</v>
      </c>
      <c r="K21">
        <v>0.59873432242213198</v>
      </c>
      <c r="L21">
        <v>0.43235653411427899</v>
      </c>
      <c r="M21">
        <v>0.24587022598123401</v>
      </c>
      <c r="N21">
        <v>0.70824734932042899</v>
      </c>
      <c r="O21">
        <v>0.35066403429030601</v>
      </c>
      <c r="P21">
        <v>0.24170741377031801</v>
      </c>
      <c r="U21" s="9">
        <v>0</v>
      </c>
      <c r="V21">
        <v>0</v>
      </c>
      <c r="W21">
        <v>0</v>
      </c>
      <c r="X21" s="12" t="b">
        <f t="shared" si="27"/>
        <v>0</v>
      </c>
      <c r="Y21" s="12" t="b">
        <f t="shared" si="28"/>
        <v>0</v>
      </c>
      <c r="Z21" s="12" t="b">
        <f t="shared" si="29"/>
        <v>0</v>
      </c>
      <c r="AA21" s="15" t="b">
        <f t="shared" si="7"/>
        <v>0</v>
      </c>
      <c r="AB21" s="16" t="b">
        <f t="shared" si="8"/>
        <v>0</v>
      </c>
      <c r="AC21" s="16" t="b">
        <f t="shared" si="9"/>
        <v>0</v>
      </c>
      <c r="AD21" s="9">
        <v>1</v>
      </c>
      <c r="AE21">
        <v>1</v>
      </c>
      <c r="AF21">
        <v>0</v>
      </c>
      <c r="AG21" s="12" t="b">
        <f t="shared" si="32"/>
        <v>1</v>
      </c>
      <c r="AH21" s="12" t="b">
        <f t="shared" si="33"/>
        <v>1</v>
      </c>
      <c r="AI21" s="12" t="b">
        <f t="shared" si="34"/>
        <v>0</v>
      </c>
      <c r="AJ21" s="15" t="b">
        <f t="shared" si="11"/>
        <v>1</v>
      </c>
      <c r="AK21" s="16" t="b">
        <f t="shared" si="12"/>
        <v>1</v>
      </c>
      <c r="AL21" s="16" t="b">
        <f t="shared" si="13"/>
        <v>0</v>
      </c>
      <c r="AM21" s="9">
        <v>0</v>
      </c>
      <c r="AN21">
        <v>0</v>
      </c>
      <c r="AO21">
        <v>0</v>
      </c>
      <c r="AP21" s="12" t="b">
        <f t="shared" si="35"/>
        <v>0</v>
      </c>
      <c r="AQ21" s="12" t="b">
        <f t="shared" si="36"/>
        <v>0</v>
      </c>
      <c r="AR21" s="12" t="b">
        <f t="shared" si="37"/>
        <v>0</v>
      </c>
      <c r="AS21" s="15" t="b">
        <f t="shared" si="15"/>
        <v>0</v>
      </c>
      <c r="AT21" s="16" t="b">
        <f t="shared" si="16"/>
        <v>0</v>
      </c>
      <c r="AU21" s="16" t="b">
        <f t="shared" si="17"/>
        <v>0</v>
      </c>
      <c r="AV21" s="21" t="b">
        <v>1</v>
      </c>
      <c r="AW21" s="22" t="b">
        <v>1</v>
      </c>
      <c r="AX21" s="22" t="b">
        <v>0</v>
      </c>
      <c r="AY21" s="15" t="b">
        <f t="shared" si="18"/>
        <v>1</v>
      </c>
      <c r="AZ21" s="16" t="b">
        <f t="shared" si="19"/>
        <v>1</v>
      </c>
      <c r="BA21" s="16" t="b">
        <f t="shared" si="20"/>
        <v>0</v>
      </c>
      <c r="BB21" s="21" t="b">
        <v>1</v>
      </c>
      <c r="BC21" s="22" t="b">
        <v>1</v>
      </c>
      <c r="BD21" s="22" t="b">
        <v>0</v>
      </c>
      <c r="BE21" s="15" t="b">
        <f t="shared" si="21"/>
        <v>1</v>
      </c>
      <c r="BF21" s="16" t="b">
        <f t="shared" si="22"/>
        <v>1</v>
      </c>
      <c r="BG21" s="16" t="b">
        <f t="shared" si="23"/>
        <v>0</v>
      </c>
      <c r="BH21" s="21" t="b">
        <v>0</v>
      </c>
      <c r="BI21" s="12" t="b">
        <v>0</v>
      </c>
      <c r="BJ21" s="12" t="b">
        <v>0</v>
      </c>
      <c r="BK21" s="15" t="b">
        <f t="shared" si="24"/>
        <v>0</v>
      </c>
      <c r="BL21" s="16" t="b">
        <f t="shared" si="25"/>
        <v>0</v>
      </c>
      <c r="BM21" s="16" t="b">
        <f t="shared" si="26"/>
        <v>0</v>
      </c>
    </row>
    <row r="22" spans="1:65" x14ac:dyDescent="0.2">
      <c r="A22" s="2" t="s">
        <v>8</v>
      </c>
      <c r="B22" t="b">
        <f t="shared" si="30"/>
        <v>1</v>
      </c>
      <c r="C22" t="b">
        <f t="shared" si="31"/>
        <v>0</v>
      </c>
      <c r="D22" t="b">
        <f t="shared" si="1"/>
        <v>1</v>
      </c>
      <c r="E22">
        <v>2</v>
      </c>
      <c r="F22" t="b">
        <v>1</v>
      </c>
      <c r="G22" t="b">
        <v>1</v>
      </c>
      <c r="H22" t="b">
        <v>0</v>
      </c>
      <c r="I22">
        <v>0.58002180969677597</v>
      </c>
      <c r="J22">
        <v>0.96371069917125196</v>
      </c>
      <c r="K22">
        <v>0.72544732976895798</v>
      </c>
      <c r="L22">
        <v>0.51549039291849796</v>
      </c>
      <c r="M22">
        <v>0.69230769230769196</v>
      </c>
      <c r="N22">
        <v>0.81818181818181801</v>
      </c>
      <c r="O22">
        <v>0.81818181818181801</v>
      </c>
      <c r="P22">
        <v>0.56000000000000005</v>
      </c>
      <c r="U22" s="9">
        <v>0</v>
      </c>
      <c r="V22">
        <v>0</v>
      </c>
      <c r="W22">
        <v>0</v>
      </c>
      <c r="X22" s="12" t="b">
        <f t="shared" si="27"/>
        <v>0</v>
      </c>
      <c r="Y22" s="12" t="b">
        <f t="shared" si="28"/>
        <v>0</v>
      </c>
      <c r="Z22" s="12" t="b">
        <f t="shared" si="29"/>
        <v>0</v>
      </c>
      <c r="AA22" s="15" t="b">
        <f t="shared" si="7"/>
        <v>0</v>
      </c>
      <c r="AB22" s="16" t="b">
        <f t="shared" si="8"/>
        <v>0</v>
      </c>
      <c r="AC22" s="16" t="b">
        <f t="shared" si="9"/>
        <v>0</v>
      </c>
      <c r="AD22" s="9">
        <v>1</v>
      </c>
      <c r="AE22">
        <v>1</v>
      </c>
      <c r="AF22">
        <v>0</v>
      </c>
      <c r="AG22" s="12" t="b">
        <f t="shared" si="32"/>
        <v>1</v>
      </c>
      <c r="AH22" s="12" t="b">
        <f t="shared" si="33"/>
        <v>1</v>
      </c>
      <c r="AI22" s="12" t="b">
        <f t="shared" si="34"/>
        <v>0</v>
      </c>
      <c r="AJ22" s="15" t="b">
        <f t="shared" si="11"/>
        <v>1</v>
      </c>
      <c r="AK22" s="16" t="b">
        <f t="shared" si="12"/>
        <v>1</v>
      </c>
      <c r="AL22" s="16" t="b">
        <f t="shared" si="13"/>
        <v>0</v>
      </c>
      <c r="AM22" s="9">
        <v>0</v>
      </c>
      <c r="AN22">
        <v>0</v>
      </c>
      <c r="AO22">
        <v>0</v>
      </c>
      <c r="AP22" s="12" t="b">
        <f t="shared" si="35"/>
        <v>0</v>
      </c>
      <c r="AQ22" s="12" t="b">
        <f t="shared" si="36"/>
        <v>0</v>
      </c>
      <c r="AR22" s="12" t="b">
        <f t="shared" si="37"/>
        <v>0</v>
      </c>
      <c r="AS22" s="15" t="b">
        <f t="shared" si="15"/>
        <v>0</v>
      </c>
      <c r="AT22" s="16" t="b">
        <f t="shared" si="16"/>
        <v>0</v>
      </c>
      <c r="AU22" s="16" t="b">
        <f t="shared" si="17"/>
        <v>0</v>
      </c>
      <c r="AV22" s="21" t="b">
        <v>1</v>
      </c>
      <c r="AW22" s="22" t="b">
        <v>1</v>
      </c>
      <c r="AX22" s="12" t="b">
        <v>0</v>
      </c>
      <c r="AY22" s="15" t="b">
        <f t="shared" si="18"/>
        <v>1</v>
      </c>
      <c r="AZ22" s="16" t="b">
        <f t="shared" si="19"/>
        <v>1</v>
      </c>
      <c r="BA22" s="16" t="b">
        <f t="shared" si="20"/>
        <v>0</v>
      </c>
      <c r="BB22" s="21" t="b">
        <v>1</v>
      </c>
      <c r="BC22" s="22" t="b">
        <v>1</v>
      </c>
      <c r="BD22" s="12" t="b">
        <v>0</v>
      </c>
      <c r="BE22" s="15" t="b">
        <f t="shared" si="21"/>
        <v>1</v>
      </c>
      <c r="BF22" s="16" t="b">
        <f t="shared" si="22"/>
        <v>1</v>
      </c>
      <c r="BG22" s="16" t="b">
        <f t="shared" si="23"/>
        <v>0</v>
      </c>
      <c r="BH22" s="21" t="b">
        <v>0</v>
      </c>
      <c r="BI22" s="12" t="b">
        <v>0</v>
      </c>
      <c r="BJ22" s="12" t="b">
        <v>0</v>
      </c>
      <c r="BK22" s="15" t="b">
        <f t="shared" si="24"/>
        <v>0</v>
      </c>
      <c r="BL22" s="16" t="b">
        <f t="shared" si="25"/>
        <v>0</v>
      </c>
      <c r="BM22" s="16" t="b">
        <f t="shared" si="26"/>
        <v>0</v>
      </c>
    </row>
    <row r="23" spans="1:65" x14ac:dyDescent="0.2">
      <c r="A23" s="2" t="s">
        <v>8</v>
      </c>
      <c r="B23" t="b">
        <f t="shared" si="30"/>
        <v>1</v>
      </c>
      <c r="C23" t="b">
        <f t="shared" si="31"/>
        <v>0</v>
      </c>
      <c r="D23" t="b">
        <f t="shared" si="1"/>
        <v>1</v>
      </c>
      <c r="E23">
        <v>3</v>
      </c>
      <c r="F23" t="b">
        <v>1</v>
      </c>
      <c r="G23" t="b">
        <v>1</v>
      </c>
      <c r="H23" t="b">
        <v>1</v>
      </c>
      <c r="I23">
        <v>0.87180498899248904</v>
      </c>
      <c r="J23">
        <v>0.99429922935357695</v>
      </c>
      <c r="K23">
        <v>0.90127291001546905</v>
      </c>
      <c r="L23">
        <v>0.85687358276643899</v>
      </c>
      <c r="M23">
        <v>0.73397136632430704</v>
      </c>
      <c r="N23">
        <v>0.94702442380460905</v>
      </c>
      <c r="O23">
        <v>0.80798319327731005</v>
      </c>
      <c r="P23">
        <v>0.723856209150326</v>
      </c>
      <c r="U23" s="9">
        <v>0</v>
      </c>
      <c r="V23">
        <v>0</v>
      </c>
      <c r="W23">
        <v>0</v>
      </c>
      <c r="X23" s="12" t="b">
        <f t="shared" si="27"/>
        <v>0</v>
      </c>
      <c r="Y23" s="12" t="b">
        <f t="shared" si="28"/>
        <v>0</v>
      </c>
      <c r="Z23" s="12" t="b">
        <f t="shared" si="29"/>
        <v>0</v>
      </c>
      <c r="AA23" s="15" t="b">
        <f t="shared" si="7"/>
        <v>0</v>
      </c>
      <c r="AB23" s="16" t="b">
        <f t="shared" si="8"/>
        <v>0</v>
      </c>
      <c r="AC23" s="16" t="b">
        <f t="shared" si="9"/>
        <v>0</v>
      </c>
      <c r="AD23" s="9">
        <v>1</v>
      </c>
      <c r="AE23">
        <v>1</v>
      </c>
      <c r="AF23">
        <v>0</v>
      </c>
      <c r="AG23" s="12" t="b">
        <f t="shared" si="32"/>
        <v>1</v>
      </c>
      <c r="AH23" s="12" t="b">
        <f t="shared" si="33"/>
        <v>1</v>
      </c>
      <c r="AI23" s="12" t="b">
        <f t="shared" si="34"/>
        <v>0</v>
      </c>
      <c r="AJ23" s="15" t="b">
        <f t="shared" si="11"/>
        <v>1</v>
      </c>
      <c r="AK23" s="16" t="b">
        <f t="shared" si="12"/>
        <v>1</v>
      </c>
      <c r="AL23" s="16" t="b">
        <f t="shared" si="13"/>
        <v>0</v>
      </c>
      <c r="AM23" s="9">
        <v>0</v>
      </c>
      <c r="AN23">
        <v>0</v>
      </c>
      <c r="AO23">
        <v>0</v>
      </c>
      <c r="AP23" s="12" t="b">
        <f t="shared" si="35"/>
        <v>0</v>
      </c>
      <c r="AQ23" s="12" t="b">
        <f t="shared" si="36"/>
        <v>0</v>
      </c>
      <c r="AR23" s="12" t="b">
        <f t="shared" si="37"/>
        <v>0</v>
      </c>
      <c r="AS23" s="15" t="b">
        <f t="shared" si="15"/>
        <v>0</v>
      </c>
      <c r="AT23" s="16" t="b">
        <f t="shared" si="16"/>
        <v>0</v>
      </c>
      <c r="AU23" s="16" t="b">
        <f t="shared" si="17"/>
        <v>0</v>
      </c>
      <c r="AV23" s="21" t="b">
        <v>0</v>
      </c>
      <c r="AW23" s="12" t="b">
        <v>0</v>
      </c>
      <c r="AX23" s="12" t="b">
        <v>0</v>
      </c>
      <c r="AY23" s="15" t="b">
        <f t="shared" si="18"/>
        <v>0</v>
      </c>
      <c r="AZ23" s="16" t="b">
        <f t="shared" si="19"/>
        <v>0</v>
      </c>
      <c r="BA23" s="16" t="b">
        <f t="shared" si="20"/>
        <v>0</v>
      </c>
      <c r="BB23" s="21" t="b">
        <v>0</v>
      </c>
      <c r="BC23" s="12" t="b">
        <v>0</v>
      </c>
      <c r="BD23" s="12" t="b">
        <v>0</v>
      </c>
      <c r="BE23" s="15" t="b">
        <f t="shared" si="21"/>
        <v>0</v>
      </c>
      <c r="BF23" s="16" t="b">
        <f t="shared" si="22"/>
        <v>0</v>
      </c>
      <c r="BG23" s="16" t="b">
        <f t="shared" si="23"/>
        <v>0</v>
      </c>
      <c r="BH23" s="21" t="b">
        <v>0</v>
      </c>
      <c r="BI23" s="12" t="b">
        <v>0</v>
      </c>
      <c r="BJ23" s="12" t="b">
        <v>0</v>
      </c>
      <c r="BK23" s="15" t="b">
        <f t="shared" si="24"/>
        <v>0</v>
      </c>
      <c r="BL23" s="16" t="b">
        <f t="shared" si="25"/>
        <v>0</v>
      </c>
      <c r="BM23" s="16" t="b">
        <f t="shared" si="26"/>
        <v>0</v>
      </c>
    </row>
    <row r="24" spans="1:65" s="4" customFormat="1" x14ac:dyDescent="0.2">
      <c r="A24" s="3" t="s">
        <v>8</v>
      </c>
      <c r="B24" s="4" t="b">
        <f t="shared" si="30"/>
        <v>1</v>
      </c>
      <c r="C24" s="4" t="b">
        <f t="shared" si="31"/>
        <v>0</v>
      </c>
      <c r="D24" s="4" t="b">
        <f t="shared" si="1"/>
        <v>1</v>
      </c>
      <c r="E24" s="4">
        <v>4</v>
      </c>
      <c r="F24" s="4" t="b">
        <v>1</v>
      </c>
      <c r="G24" s="4" t="b">
        <v>1</v>
      </c>
      <c r="H24" s="4" t="b">
        <v>0</v>
      </c>
      <c r="I24" s="4">
        <v>0.16782407407407399</v>
      </c>
      <c r="J24" s="4">
        <v>0.37586805555555503</v>
      </c>
      <c r="K24" s="4">
        <v>0.25173611111111099</v>
      </c>
      <c r="L24" s="4">
        <v>0.16782407407407399</v>
      </c>
      <c r="M24" s="4">
        <v>0.15686274509803899</v>
      </c>
      <c r="N24" s="4">
        <v>0.36764705882352899</v>
      </c>
      <c r="O24" s="4">
        <v>0.23529411764705799</v>
      </c>
      <c r="P24" s="4">
        <v>0.15686274509803899</v>
      </c>
      <c r="U24" s="10">
        <v>0</v>
      </c>
      <c r="V24" s="4">
        <v>0</v>
      </c>
      <c r="W24" s="4">
        <v>0</v>
      </c>
      <c r="X24" s="13" t="b">
        <f t="shared" si="27"/>
        <v>0</v>
      </c>
      <c r="Y24" s="13" t="b">
        <f t="shared" si="28"/>
        <v>0</v>
      </c>
      <c r="Z24" s="13" t="b">
        <f t="shared" si="29"/>
        <v>0</v>
      </c>
      <c r="AA24" s="17" t="b">
        <f t="shared" si="7"/>
        <v>0</v>
      </c>
      <c r="AB24" s="18" t="b">
        <f t="shared" si="8"/>
        <v>0</v>
      </c>
      <c r="AC24" s="18" t="b">
        <f t="shared" si="9"/>
        <v>0</v>
      </c>
      <c r="AD24" s="10">
        <v>1</v>
      </c>
      <c r="AE24" s="4">
        <v>1</v>
      </c>
      <c r="AF24" s="4">
        <v>0</v>
      </c>
      <c r="AG24" s="13" t="b">
        <f t="shared" si="32"/>
        <v>1</v>
      </c>
      <c r="AH24" s="13" t="b">
        <f t="shared" si="33"/>
        <v>1</v>
      </c>
      <c r="AI24" s="13" t="b">
        <f t="shared" si="34"/>
        <v>0</v>
      </c>
      <c r="AJ24" s="17" t="b">
        <f t="shared" si="11"/>
        <v>1</v>
      </c>
      <c r="AK24" s="18" t="b">
        <f t="shared" si="12"/>
        <v>1</v>
      </c>
      <c r="AL24" s="18" t="b">
        <f t="shared" si="13"/>
        <v>0</v>
      </c>
      <c r="AM24" s="10">
        <v>0</v>
      </c>
      <c r="AN24" s="4">
        <v>0</v>
      </c>
      <c r="AO24" s="4">
        <v>0</v>
      </c>
      <c r="AP24" s="13" t="b">
        <f t="shared" si="35"/>
        <v>0</v>
      </c>
      <c r="AQ24" s="13" t="b">
        <f t="shared" si="36"/>
        <v>0</v>
      </c>
      <c r="AR24" s="13" t="b">
        <f t="shared" si="37"/>
        <v>0</v>
      </c>
      <c r="AS24" s="17" t="b">
        <f t="shared" si="15"/>
        <v>0</v>
      </c>
      <c r="AT24" s="18" t="b">
        <f t="shared" si="16"/>
        <v>0</v>
      </c>
      <c r="AU24" s="18" t="b">
        <f t="shared" si="17"/>
        <v>0</v>
      </c>
      <c r="AV24" s="23" t="b">
        <v>0</v>
      </c>
      <c r="AW24" s="13" t="b">
        <v>0</v>
      </c>
      <c r="AX24" s="13" t="b">
        <v>0</v>
      </c>
      <c r="AY24" s="17" t="b">
        <f t="shared" si="18"/>
        <v>0</v>
      </c>
      <c r="AZ24" s="18" t="b">
        <f t="shared" si="19"/>
        <v>0</v>
      </c>
      <c r="BA24" s="18" t="b">
        <f t="shared" si="20"/>
        <v>0</v>
      </c>
      <c r="BB24" s="23" t="b">
        <v>0</v>
      </c>
      <c r="BC24" s="13" t="b">
        <v>0</v>
      </c>
      <c r="BD24" s="13" t="b">
        <v>0</v>
      </c>
      <c r="BE24" s="17" t="b">
        <f t="shared" si="21"/>
        <v>0</v>
      </c>
      <c r="BF24" s="18" t="b">
        <f t="shared" si="22"/>
        <v>0</v>
      </c>
      <c r="BG24" s="18" t="b">
        <f t="shared" si="23"/>
        <v>0</v>
      </c>
      <c r="BH24" s="23" t="b">
        <v>0</v>
      </c>
      <c r="BI24" s="13" t="b">
        <v>0</v>
      </c>
      <c r="BJ24" s="13" t="b">
        <v>0</v>
      </c>
      <c r="BK24" s="17" t="b">
        <f t="shared" si="24"/>
        <v>0</v>
      </c>
      <c r="BL24" s="18" t="b">
        <f t="shared" si="25"/>
        <v>0</v>
      </c>
      <c r="BM24" s="18" t="b">
        <f t="shared" si="26"/>
        <v>0</v>
      </c>
    </row>
    <row r="25" spans="1:65" x14ac:dyDescent="0.2">
      <c r="A25" s="2" t="s">
        <v>9</v>
      </c>
      <c r="B25" t="b">
        <f t="shared" si="30"/>
        <v>1</v>
      </c>
      <c r="C25" t="b">
        <f t="shared" si="31"/>
        <v>0</v>
      </c>
      <c r="D25" t="b">
        <f t="shared" si="1"/>
        <v>1</v>
      </c>
      <c r="E25">
        <v>0</v>
      </c>
      <c r="F25" t="b">
        <v>1</v>
      </c>
      <c r="G25" t="b">
        <v>1</v>
      </c>
      <c r="H25" t="b">
        <v>0</v>
      </c>
      <c r="U25" s="9">
        <v>6</v>
      </c>
      <c r="V25">
        <v>0</v>
      </c>
      <c r="W25">
        <v>0</v>
      </c>
      <c r="X25" s="12" t="b">
        <f t="shared" si="27"/>
        <v>1</v>
      </c>
      <c r="Y25" s="12" t="b">
        <f t="shared" si="28"/>
        <v>0</v>
      </c>
      <c r="Z25" s="12" t="b">
        <f t="shared" si="29"/>
        <v>0</v>
      </c>
      <c r="AA25" s="15" t="b">
        <f t="shared" si="7"/>
        <v>1</v>
      </c>
      <c r="AB25" s="16" t="b">
        <f t="shared" si="8"/>
        <v>0</v>
      </c>
      <c r="AC25" s="16" t="b">
        <f t="shared" si="9"/>
        <v>0</v>
      </c>
      <c r="AD25" s="9">
        <v>4</v>
      </c>
      <c r="AE25">
        <v>2</v>
      </c>
      <c r="AF25">
        <v>0</v>
      </c>
      <c r="AG25" s="12" t="b">
        <f t="shared" si="32"/>
        <v>1</v>
      </c>
      <c r="AH25" s="12" t="b">
        <f t="shared" si="33"/>
        <v>1</v>
      </c>
      <c r="AI25" s="12" t="b">
        <f t="shared" si="34"/>
        <v>0</v>
      </c>
      <c r="AJ25" s="15" t="b">
        <f t="shared" si="11"/>
        <v>1</v>
      </c>
      <c r="AK25" s="16" t="b">
        <f t="shared" si="12"/>
        <v>1</v>
      </c>
      <c r="AL25" s="16" t="b">
        <f t="shared" si="13"/>
        <v>0</v>
      </c>
      <c r="AM25" s="9">
        <v>4</v>
      </c>
      <c r="AN25">
        <v>4</v>
      </c>
      <c r="AO25">
        <v>0</v>
      </c>
      <c r="AP25" s="12" t="b">
        <f t="shared" si="35"/>
        <v>1</v>
      </c>
      <c r="AQ25" s="12" t="b">
        <f t="shared" si="36"/>
        <v>1</v>
      </c>
      <c r="AR25" s="12" t="b">
        <f t="shared" si="37"/>
        <v>0</v>
      </c>
      <c r="AS25" s="15" t="b">
        <f t="shared" si="15"/>
        <v>1</v>
      </c>
      <c r="AT25" s="16" t="b">
        <f t="shared" si="16"/>
        <v>1</v>
      </c>
      <c r="AU25" s="16" t="b">
        <f t="shared" si="17"/>
        <v>0</v>
      </c>
      <c r="AV25" s="21" t="b">
        <v>0</v>
      </c>
      <c r="AW25" s="12" t="b">
        <v>0</v>
      </c>
      <c r="AX25" s="12" t="b">
        <v>0</v>
      </c>
      <c r="AY25" s="15" t="b">
        <f t="shared" si="18"/>
        <v>0</v>
      </c>
      <c r="AZ25" s="16" t="b">
        <f t="shared" si="19"/>
        <v>0</v>
      </c>
      <c r="BA25" s="16" t="b">
        <f t="shared" si="20"/>
        <v>0</v>
      </c>
      <c r="BB25" s="21" t="b">
        <v>0</v>
      </c>
      <c r="BC25" s="12" t="b">
        <v>0</v>
      </c>
      <c r="BD25" s="12" t="b">
        <v>0</v>
      </c>
      <c r="BE25" s="15" t="b">
        <f t="shared" si="21"/>
        <v>0</v>
      </c>
      <c r="BF25" s="16" t="b">
        <f t="shared" si="22"/>
        <v>0</v>
      </c>
      <c r="BG25" s="16" t="b">
        <f t="shared" si="23"/>
        <v>0</v>
      </c>
      <c r="BH25" s="21" t="b">
        <v>0</v>
      </c>
      <c r="BI25" s="12" t="b">
        <v>0</v>
      </c>
      <c r="BJ25" s="12" t="b">
        <v>0</v>
      </c>
      <c r="BK25" s="15" t="b">
        <f t="shared" si="24"/>
        <v>0</v>
      </c>
      <c r="BL25" s="16" t="b">
        <f t="shared" si="25"/>
        <v>0</v>
      </c>
      <c r="BM25" s="16" t="b">
        <f t="shared" si="26"/>
        <v>0</v>
      </c>
    </row>
    <row r="26" spans="1:65" x14ac:dyDescent="0.2">
      <c r="A26" s="2" t="s">
        <v>9</v>
      </c>
      <c r="B26" t="b">
        <f t="shared" si="30"/>
        <v>1</v>
      </c>
      <c r="C26" t="b">
        <f t="shared" si="31"/>
        <v>0</v>
      </c>
      <c r="D26" t="b">
        <f t="shared" si="1"/>
        <v>1</v>
      </c>
      <c r="E26">
        <v>1</v>
      </c>
      <c r="F26" t="b">
        <v>1</v>
      </c>
      <c r="G26" t="b">
        <v>1</v>
      </c>
      <c r="H26" t="b">
        <v>1</v>
      </c>
      <c r="U26" s="9">
        <v>6</v>
      </c>
      <c r="V26">
        <v>0</v>
      </c>
      <c r="W26">
        <v>0</v>
      </c>
      <c r="X26" s="12" t="b">
        <f t="shared" si="27"/>
        <v>1</v>
      </c>
      <c r="Y26" s="12" t="b">
        <f t="shared" si="28"/>
        <v>0</v>
      </c>
      <c r="Z26" s="12" t="b">
        <f t="shared" si="29"/>
        <v>0</v>
      </c>
      <c r="AA26" s="15" t="b">
        <f t="shared" si="7"/>
        <v>1</v>
      </c>
      <c r="AB26" s="16" t="b">
        <f t="shared" si="8"/>
        <v>0</v>
      </c>
      <c r="AC26" s="16" t="b">
        <f t="shared" si="9"/>
        <v>0</v>
      </c>
      <c r="AD26" s="9">
        <v>4</v>
      </c>
      <c r="AE26">
        <v>2</v>
      </c>
      <c r="AF26">
        <v>0</v>
      </c>
      <c r="AG26" s="12" t="b">
        <f t="shared" si="32"/>
        <v>1</v>
      </c>
      <c r="AH26" s="12" t="b">
        <f t="shared" si="33"/>
        <v>1</v>
      </c>
      <c r="AI26" s="12" t="b">
        <f t="shared" si="34"/>
        <v>0</v>
      </c>
      <c r="AJ26" s="15" t="b">
        <f t="shared" si="11"/>
        <v>1</v>
      </c>
      <c r="AK26" s="16" t="b">
        <f t="shared" si="12"/>
        <v>1</v>
      </c>
      <c r="AL26" s="16" t="b">
        <f t="shared" si="13"/>
        <v>0</v>
      </c>
      <c r="AM26" s="9">
        <v>4</v>
      </c>
      <c r="AN26">
        <v>4</v>
      </c>
      <c r="AO26">
        <v>0</v>
      </c>
      <c r="AP26" s="12" t="b">
        <f t="shared" si="35"/>
        <v>1</v>
      </c>
      <c r="AQ26" s="12" t="b">
        <f t="shared" si="36"/>
        <v>1</v>
      </c>
      <c r="AR26" s="12" t="b">
        <f t="shared" si="37"/>
        <v>0</v>
      </c>
      <c r="AS26" s="15" t="b">
        <f t="shared" si="15"/>
        <v>1</v>
      </c>
      <c r="AT26" s="16" t="b">
        <f t="shared" si="16"/>
        <v>1</v>
      </c>
      <c r="AU26" s="16" t="b">
        <f t="shared" si="17"/>
        <v>0</v>
      </c>
      <c r="AV26" s="21" t="b">
        <v>0</v>
      </c>
      <c r="AW26" s="12" t="b">
        <v>0</v>
      </c>
      <c r="AX26" s="12" t="b">
        <v>0</v>
      </c>
      <c r="AY26" s="15" t="b">
        <f t="shared" si="18"/>
        <v>0</v>
      </c>
      <c r="AZ26" s="16" t="b">
        <f t="shared" si="19"/>
        <v>0</v>
      </c>
      <c r="BA26" s="16" t="b">
        <f t="shared" si="20"/>
        <v>0</v>
      </c>
      <c r="BB26" s="21" t="b">
        <v>0</v>
      </c>
      <c r="BC26" s="12" t="b">
        <v>0</v>
      </c>
      <c r="BD26" s="12" t="b">
        <v>0</v>
      </c>
      <c r="BE26" s="15" t="b">
        <f t="shared" si="21"/>
        <v>0</v>
      </c>
      <c r="BF26" s="16" t="b">
        <f t="shared" si="22"/>
        <v>0</v>
      </c>
      <c r="BG26" s="16" t="b">
        <f t="shared" si="23"/>
        <v>0</v>
      </c>
      <c r="BH26" s="21" t="b">
        <v>0</v>
      </c>
      <c r="BI26" s="12" t="b">
        <v>0</v>
      </c>
      <c r="BJ26" s="12" t="b">
        <v>0</v>
      </c>
      <c r="BK26" s="15" t="b">
        <f t="shared" si="24"/>
        <v>0</v>
      </c>
      <c r="BL26" s="16" t="b">
        <f t="shared" si="25"/>
        <v>0</v>
      </c>
      <c r="BM26" s="16" t="b">
        <f t="shared" si="26"/>
        <v>0</v>
      </c>
    </row>
    <row r="27" spans="1:65" s="4" customFormat="1" x14ac:dyDescent="0.2">
      <c r="A27" s="3" t="s">
        <v>9</v>
      </c>
      <c r="B27" s="4" t="b">
        <f t="shared" si="30"/>
        <v>1</v>
      </c>
      <c r="C27" s="4" t="b">
        <f t="shared" si="31"/>
        <v>0</v>
      </c>
      <c r="D27" s="4" t="b">
        <f t="shared" si="1"/>
        <v>1</v>
      </c>
      <c r="E27" s="4">
        <v>2</v>
      </c>
      <c r="F27" s="4" t="b">
        <v>1</v>
      </c>
      <c r="G27" s="4" t="b">
        <v>1</v>
      </c>
      <c r="H27" s="4" t="b">
        <v>0</v>
      </c>
      <c r="U27" s="10">
        <v>6</v>
      </c>
      <c r="V27" s="4">
        <v>0</v>
      </c>
      <c r="W27" s="4">
        <v>0</v>
      </c>
      <c r="X27" s="13" t="b">
        <f t="shared" si="27"/>
        <v>1</v>
      </c>
      <c r="Y27" s="13" t="b">
        <f t="shared" si="28"/>
        <v>0</v>
      </c>
      <c r="Z27" s="13" t="b">
        <f t="shared" si="29"/>
        <v>0</v>
      </c>
      <c r="AA27" s="17" t="b">
        <f t="shared" si="7"/>
        <v>1</v>
      </c>
      <c r="AB27" s="18" t="b">
        <f t="shared" si="8"/>
        <v>0</v>
      </c>
      <c r="AC27" s="18" t="b">
        <f t="shared" si="9"/>
        <v>0</v>
      </c>
      <c r="AD27" s="10">
        <v>4</v>
      </c>
      <c r="AE27" s="4">
        <v>2</v>
      </c>
      <c r="AF27" s="4">
        <v>0</v>
      </c>
      <c r="AG27" s="13" t="b">
        <f t="shared" si="32"/>
        <v>1</v>
      </c>
      <c r="AH27" s="13" t="b">
        <f t="shared" si="33"/>
        <v>1</v>
      </c>
      <c r="AI27" s="13" t="b">
        <f t="shared" si="34"/>
        <v>0</v>
      </c>
      <c r="AJ27" s="17" t="b">
        <f t="shared" si="11"/>
        <v>1</v>
      </c>
      <c r="AK27" s="18" t="b">
        <f t="shared" si="12"/>
        <v>1</v>
      </c>
      <c r="AL27" s="18" t="b">
        <f t="shared" si="13"/>
        <v>0</v>
      </c>
      <c r="AM27" s="10">
        <v>4</v>
      </c>
      <c r="AN27" s="4">
        <v>4</v>
      </c>
      <c r="AO27" s="4">
        <v>0</v>
      </c>
      <c r="AP27" s="13" t="b">
        <f t="shared" si="35"/>
        <v>1</v>
      </c>
      <c r="AQ27" s="13" t="b">
        <f t="shared" si="36"/>
        <v>1</v>
      </c>
      <c r="AR27" s="13" t="b">
        <f t="shared" si="37"/>
        <v>0</v>
      </c>
      <c r="AS27" s="17" t="b">
        <f t="shared" si="15"/>
        <v>1</v>
      </c>
      <c r="AT27" s="18" t="b">
        <f t="shared" si="16"/>
        <v>1</v>
      </c>
      <c r="AU27" s="18" t="b">
        <f t="shared" si="17"/>
        <v>0</v>
      </c>
      <c r="AV27" s="23" t="b">
        <v>0</v>
      </c>
      <c r="AW27" s="13" t="b">
        <v>0</v>
      </c>
      <c r="AX27" s="13" t="b">
        <v>0</v>
      </c>
      <c r="AY27" s="17" t="b">
        <f t="shared" si="18"/>
        <v>0</v>
      </c>
      <c r="AZ27" s="18" t="b">
        <f t="shared" si="19"/>
        <v>0</v>
      </c>
      <c r="BA27" s="18" t="b">
        <f t="shared" si="20"/>
        <v>0</v>
      </c>
      <c r="BB27" s="23" t="b">
        <v>0</v>
      </c>
      <c r="BC27" s="13" t="b">
        <v>0</v>
      </c>
      <c r="BD27" s="13" t="b">
        <v>0</v>
      </c>
      <c r="BE27" s="17" t="b">
        <f t="shared" si="21"/>
        <v>0</v>
      </c>
      <c r="BF27" s="18" t="b">
        <f t="shared" si="22"/>
        <v>0</v>
      </c>
      <c r="BG27" s="18" t="b">
        <f t="shared" si="23"/>
        <v>0</v>
      </c>
      <c r="BH27" s="23" t="b">
        <v>0</v>
      </c>
      <c r="BI27" s="13" t="b">
        <v>0</v>
      </c>
      <c r="BJ27" s="13" t="b">
        <v>0</v>
      </c>
      <c r="BK27" s="17" t="b">
        <f t="shared" si="24"/>
        <v>0</v>
      </c>
      <c r="BL27" s="18" t="b">
        <f t="shared" si="25"/>
        <v>0</v>
      </c>
      <c r="BM27" s="18" t="b">
        <f t="shared" si="26"/>
        <v>0</v>
      </c>
    </row>
    <row r="28" spans="1:65" x14ac:dyDescent="0.2">
      <c r="A28" s="2" t="s">
        <v>10</v>
      </c>
      <c r="B28" t="b">
        <f t="shared" si="30"/>
        <v>0</v>
      </c>
      <c r="C28" t="b">
        <f t="shared" si="31"/>
        <v>0</v>
      </c>
      <c r="D28" t="b">
        <f t="shared" si="1"/>
        <v>1</v>
      </c>
      <c r="E28">
        <v>0</v>
      </c>
      <c r="F28" t="b">
        <v>1</v>
      </c>
      <c r="G28" t="b">
        <v>1</v>
      </c>
      <c r="H28" t="b">
        <v>1</v>
      </c>
      <c r="U28" s="9">
        <v>74</v>
      </c>
      <c r="V28">
        <v>0</v>
      </c>
      <c r="W28">
        <v>0</v>
      </c>
      <c r="X28" s="12" t="b">
        <f t="shared" si="27"/>
        <v>1</v>
      </c>
      <c r="Y28" s="12" t="b">
        <f t="shared" si="28"/>
        <v>0</v>
      </c>
      <c r="Z28" s="12" t="b">
        <f t="shared" si="29"/>
        <v>0</v>
      </c>
      <c r="AA28" s="15" t="b">
        <f t="shared" si="7"/>
        <v>1</v>
      </c>
      <c r="AB28" s="16" t="b">
        <f t="shared" si="8"/>
        <v>0</v>
      </c>
      <c r="AC28" s="16" t="b">
        <f t="shared" si="9"/>
        <v>0</v>
      </c>
      <c r="AD28" s="9">
        <v>9</v>
      </c>
      <c r="AE28">
        <v>0</v>
      </c>
      <c r="AF28">
        <v>0</v>
      </c>
      <c r="AG28" s="12" t="b">
        <f t="shared" si="32"/>
        <v>1</v>
      </c>
      <c r="AH28" s="12" t="b">
        <f t="shared" si="33"/>
        <v>0</v>
      </c>
      <c r="AI28" s="12" t="b">
        <f t="shared" si="34"/>
        <v>0</v>
      </c>
      <c r="AJ28" s="15" t="b">
        <f t="shared" si="11"/>
        <v>1</v>
      </c>
      <c r="AK28" s="16" t="b">
        <f t="shared" si="12"/>
        <v>0</v>
      </c>
      <c r="AL28" s="16" t="b">
        <f t="shared" si="13"/>
        <v>0</v>
      </c>
      <c r="AM28" s="9">
        <v>34</v>
      </c>
      <c r="AN28">
        <v>0</v>
      </c>
      <c r="AO28">
        <v>0</v>
      </c>
      <c r="AP28" s="12" t="b">
        <f t="shared" si="35"/>
        <v>1</v>
      </c>
      <c r="AQ28" s="12" t="b">
        <f t="shared" si="36"/>
        <v>0</v>
      </c>
      <c r="AR28" s="12" t="b">
        <f t="shared" si="37"/>
        <v>0</v>
      </c>
      <c r="AS28" s="15" t="b">
        <f t="shared" si="15"/>
        <v>1</v>
      </c>
      <c r="AT28" s="16" t="b">
        <f t="shared" si="16"/>
        <v>0</v>
      </c>
      <c r="AU28" s="16" t="b">
        <f t="shared" si="17"/>
        <v>0</v>
      </c>
      <c r="AV28" s="21" t="b">
        <v>0</v>
      </c>
      <c r="AW28" s="12" t="b">
        <v>0</v>
      </c>
      <c r="AX28" s="12" t="b">
        <v>0</v>
      </c>
      <c r="AY28" s="15" t="b">
        <f t="shared" si="18"/>
        <v>0</v>
      </c>
      <c r="AZ28" s="16" t="b">
        <f t="shared" si="19"/>
        <v>0</v>
      </c>
      <c r="BA28" s="16" t="b">
        <f t="shared" si="20"/>
        <v>0</v>
      </c>
      <c r="BB28" s="21" t="b">
        <v>0</v>
      </c>
      <c r="BC28" s="12" t="b">
        <v>0</v>
      </c>
      <c r="BD28" s="12" t="b">
        <v>0</v>
      </c>
      <c r="BE28" s="15" t="b">
        <f t="shared" si="21"/>
        <v>0</v>
      </c>
      <c r="BF28" s="16" t="b">
        <f t="shared" si="22"/>
        <v>0</v>
      </c>
      <c r="BG28" s="16" t="b">
        <f t="shared" si="23"/>
        <v>0</v>
      </c>
      <c r="BH28" s="21" t="b">
        <v>0</v>
      </c>
      <c r="BI28" s="12" t="b">
        <v>0</v>
      </c>
      <c r="BJ28" s="12" t="b">
        <v>0</v>
      </c>
      <c r="BK28" s="15" t="b">
        <f t="shared" si="24"/>
        <v>0</v>
      </c>
      <c r="BL28" s="16" t="b">
        <f t="shared" si="25"/>
        <v>0</v>
      </c>
      <c r="BM28" s="16" t="b">
        <f t="shared" si="26"/>
        <v>0</v>
      </c>
    </row>
    <row r="29" spans="1:65" x14ac:dyDescent="0.2">
      <c r="A29" s="2" t="s">
        <v>10</v>
      </c>
      <c r="B29" t="b">
        <f t="shared" si="30"/>
        <v>1</v>
      </c>
      <c r="C29" t="b">
        <f t="shared" si="31"/>
        <v>0</v>
      </c>
      <c r="D29" t="b">
        <f t="shared" si="1"/>
        <v>1</v>
      </c>
      <c r="E29">
        <v>1</v>
      </c>
      <c r="F29" t="b">
        <v>1</v>
      </c>
      <c r="G29" t="b">
        <v>1</v>
      </c>
      <c r="H29" t="b">
        <v>1</v>
      </c>
      <c r="U29" s="9">
        <v>74</v>
      </c>
      <c r="V29">
        <v>0</v>
      </c>
      <c r="W29">
        <v>0</v>
      </c>
      <c r="X29" s="12" t="b">
        <f t="shared" si="27"/>
        <v>1</v>
      </c>
      <c r="Y29" s="12" t="b">
        <f t="shared" si="28"/>
        <v>0</v>
      </c>
      <c r="Z29" s="12" t="b">
        <f t="shared" si="29"/>
        <v>0</v>
      </c>
      <c r="AA29" s="15" t="b">
        <f t="shared" si="7"/>
        <v>1</v>
      </c>
      <c r="AB29" s="16" t="b">
        <f t="shared" si="8"/>
        <v>0</v>
      </c>
      <c r="AC29" s="16" t="b">
        <f t="shared" si="9"/>
        <v>0</v>
      </c>
      <c r="AD29" s="9">
        <v>9</v>
      </c>
      <c r="AE29">
        <v>3</v>
      </c>
      <c r="AF29">
        <v>0</v>
      </c>
      <c r="AG29" s="12" t="b">
        <f t="shared" si="32"/>
        <v>1</v>
      </c>
      <c r="AH29" s="12" t="b">
        <f t="shared" si="33"/>
        <v>1</v>
      </c>
      <c r="AI29" s="12" t="b">
        <f t="shared" si="34"/>
        <v>0</v>
      </c>
      <c r="AJ29" s="15" t="b">
        <f t="shared" si="11"/>
        <v>1</v>
      </c>
      <c r="AK29" s="16" t="b">
        <f t="shared" si="12"/>
        <v>1</v>
      </c>
      <c r="AL29" s="16" t="b">
        <f t="shared" si="13"/>
        <v>0</v>
      </c>
      <c r="AM29" s="9">
        <v>34</v>
      </c>
      <c r="AN29">
        <v>0</v>
      </c>
      <c r="AO29">
        <v>0</v>
      </c>
      <c r="AP29" s="12" t="b">
        <f t="shared" si="35"/>
        <v>1</v>
      </c>
      <c r="AQ29" s="12" t="b">
        <f t="shared" si="36"/>
        <v>0</v>
      </c>
      <c r="AR29" s="12" t="b">
        <f t="shared" si="37"/>
        <v>0</v>
      </c>
      <c r="AS29" s="15" t="b">
        <f t="shared" si="15"/>
        <v>1</v>
      </c>
      <c r="AT29" s="16" t="b">
        <f t="shared" si="16"/>
        <v>0</v>
      </c>
      <c r="AU29" s="16" t="b">
        <f t="shared" si="17"/>
        <v>0</v>
      </c>
      <c r="AV29" s="21" t="b">
        <v>0</v>
      </c>
      <c r="AW29" s="12" t="b">
        <v>0</v>
      </c>
      <c r="AX29" s="12" t="b">
        <v>0</v>
      </c>
      <c r="AY29" s="15" t="b">
        <f t="shared" si="18"/>
        <v>0</v>
      </c>
      <c r="AZ29" s="16" t="b">
        <f t="shared" si="19"/>
        <v>0</v>
      </c>
      <c r="BA29" s="16" t="b">
        <f t="shared" si="20"/>
        <v>0</v>
      </c>
      <c r="BB29" s="21" t="b">
        <v>0</v>
      </c>
      <c r="BC29" s="12" t="b">
        <v>0</v>
      </c>
      <c r="BD29" s="12" t="b">
        <v>0</v>
      </c>
      <c r="BE29" s="15" t="b">
        <f t="shared" si="21"/>
        <v>0</v>
      </c>
      <c r="BF29" s="16" t="b">
        <f t="shared" si="22"/>
        <v>0</v>
      </c>
      <c r="BG29" s="16" t="b">
        <f t="shared" si="23"/>
        <v>0</v>
      </c>
      <c r="BH29" s="21" t="b">
        <v>0</v>
      </c>
      <c r="BI29" s="12" t="b">
        <v>0</v>
      </c>
      <c r="BJ29" s="12" t="b">
        <v>0</v>
      </c>
      <c r="BK29" s="15" t="b">
        <f t="shared" si="24"/>
        <v>0</v>
      </c>
      <c r="BL29" s="16" t="b">
        <f t="shared" si="25"/>
        <v>0</v>
      </c>
      <c r="BM29" s="16" t="b">
        <f t="shared" si="26"/>
        <v>0</v>
      </c>
    </row>
    <row r="30" spans="1:65" x14ac:dyDescent="0.2">
      <c r="A30" s="2" t="s">
        <v>10</v>
      </c>
      <c r="B30" t="b">
        <f t="shared" si="30"/>
        <v>1</v>
      </c>
      <c r="C30" t="b">
        <f t="shared" si="31"/>
        <v>0</v>
      </c>
      <c r="D30" t="b">
        <f t="shared" si="1"/>
        <v>1</v>
      </c>
      <c r="E30">
        <v>2</v>
      </c>
      <c r="F30" t="b">
        <v>1</v>
      </c>
      <c r="G30" t="b">
        <v>1</v>
      </c>
      <c r="H30" t="b">
        <v>1</v>
      </c>
      <c r="U30" s="9">
        <v>74</v>
      </c>
      <c r="V30">
        <v>0</v>
      </c>
      <c r="W30">
        <v>0</v>
      </c>
      <c r="X30" s="12" t="b">
        <f t="shared" si="27"/>
        <v>1</v>
      </c>
      <c r="Y30" s="12" t="b">
        <f t="shared" si="28"/>
        <v>0</v>
      </c>
      <c r="Z30" s="12" t="b">
        <f t="shared" si="29"/>
        <v>0</v>
      </c>
      <c r="AA30" s="15" t="b">
        <f t="shared" si="7"/>
        <v>1</v>
      </c>
      <c r="AB30" s="16" t="b">
        <f t="shared" si="8"/>
        <v>0</v>
      </c>
      <c r="AC30" s="16" t="b">
        <f t="shared" si="9"/>
        <v>0</v>
      </c>
      <c r="AD30" s="9">
        <v>9</v>
      </c>
      <c r="AE30">
        <v>3</v>
      </c>
      <c r="AF30">
        <v>0</v>
      </c>
      <c r="AG30" s="12" t="b">
        <f t="shared" si="32"/>
        <v>1</v>
      </c>
      <c r="AH30" s="12" t="b">
        <f t="shared" si="33"/>
        <v>1</v>
      </c>
      <c r="AI30" s="12" t="b">
        <f t="shared" si="34"/>
        <v>0</v>
      </c>
      <c r="AJ30" s="15" t="b">
        <f t="shared" si="11"/>
        <v>1</v>
      </c>
      <c r="AK30" s="16" t="b">
        <f t="shared" si="12"/>
        <v>1</v>
      </c>
      <c r="AL30" s="16" t="b">
        <f t="shared" si="13"/>
        <v>0</v>
      </c>
      <c r="AM30" s="9">
        <v>34</v>
      </c>
      <c r="AN30">
        <v>0</v>
      </c>
      <c r="AO30">
        <v>0</v>
      </c>
      <c r="AP30" s="12" t="b">
        <f t="shared" si="35"/>
        <v>1</v>
      </c>
      <c r="AQ30" s="12" t="b">
        <f t="shared" si="36"/>
        <v>0</v>
      </c>
      <c r="AR30" s="12" t="b">
        <f t="shared" si="37"/>
        <v>0</v>
      </c>
      <c r="AS30" s="15" t="b">
        <f t="shared" si="15"/>
        <v>1</v>
      </c>
      <c r="AT30" s="16" t="b">
        <f t="shared" si="16"/>
        <v>0</v>
      </c>
      <c r="AU30" s="16" t="b">
        <f t="shared" si="17"/>
        <v>0</v>
      </c>
      <c r="AV30" s="21" t="b">
        <v>0</v>
      </c>
      <c r="AW30" s="12" t="b">
        <v>0</v>
      </c>
      <c r="AX30" s="12" t="b">
        <v>0</v>
      </c>
      <c r="AY30" s="15" t="b">
        <f t="shared" si="18"/>
        <v>0</v>
      </c>
      <c r="AZ30" s="16" t="b">
        <f t="shared" si="19"/>
        <v>0</v>
      </c>
      <c r="BA30" s="16" t="b">
        <f t="shared" si="20"/>
        <v>0</v>
      </c>
      <c r="BB30" s="21" t="b">
        <v>0</v>
      </c>
      <c r="BC30" s="12" t="b">
        <v>0</v>
      </c>
      <c r="BD30" s="12" t="b">
        <v>0</v>
      </c>
      <c r="BE30" s="15" t="b">
        <f t="shared" si="21"/>
        <v>0</v>
      </c>
      <c r="BF30" s="16" t="b">
        <f t="shared" si="22"/>
        <v>0</v>
      </c>
      <c r="BG30" s="16" t="b">
        <f t="shared" si="23"/>
        <v>0</v>
      </c>
      <c r="BH30" s="21" t="b">
        <v>0</v>
      </c>
      <c r="BI30" s="12" t="b">
        <v>0</v>
      </c>
      <c r="BJ30" s="12" t="b">
        <v>0</v>
      </c>
      <c r="BK30" s="15" t="b">
        <f t="shared" si="24"/>
        <v>0</v>
      </c>
      <c r="BL30" s="16" t="b">
        <f t="shared" si="25"/>
        <v>0</v>
      </c>
      <c r="BM30" s="16" t="b">
        <f t="shared" si="26"/>
        <v>0</v>
      </c>
    </row>
    <row r="31" spans="1:65" x14ac:dyDescent="0.2">
      <c r="A31" s="2" t="s">
        <v>10</v>
      </c>
      <c r="B31" t="b">
        <f t="shared" si="30"/>
        <v>1</v>
      </c>
      <c r="C31" t="b">
        <f t="shared" si="31"/>
        <v>0</v>
      </c>
      <c r="D31" t="b">
        <f t="shared" si="1"/>
        <v>1</v>
      </c>
      <c r="E31">
        <v>3</v>
      </c>
      <c r="F31" t="b">
        <v>1</v>
      </c>
      <c r="G31" t="b">
        <v>1</v>
      </c>
      <c r="H31" t="b">
        <v>0</v>
      </c>
      <c r="U31" s="9">
        <v>74</v>
      </c>
      <c r="V31">
        <v>0</v>
      </c>
      <c r="W31">
        <v>0</v>
      </c>
      <c r="X31" s="12" t="b">
        <f t="shared" si="27"/>
        <v>1</v>
      </c>
      <c r="Y31" s="12" t="b">
        <f t="shared" si="28"/>
        <v>0</v>
      </c>
      <c r="Z31" s="12" t="b">
        <f t="shared" si="29"/>
        <v>0</v>
      </c>
      <c r="AA31" s="15" t="b">
        <f t="shared" si="7"/>
        <v>1</v>
      </c>
      <c r="AB31" s="16" t="b">
        <f t="shared" si="8"/>
        <v>0</v>
      </c>
      <c r="AC31" s="16" t="b">
        <f t="shared" si="9"/>
        <v>0</v>
      </c>
      <c r="AD31" s="9">
        <v>9</v>
      </c>
      <c r="AE31">
        <v>3</v>
      </c>
      <c r="AF31">
        <v>0</v>
      </c>
      <c r="AG31" s="12" t="b">
        <f t="shared" si="32"/>
        <v>1</v>
      </c>
      <c r="AH31" s="12" t="b">
        <f t="shared" si="33"/>
        <v>1</v>
      </c>
      <c r="AI31" s="12" t="b">
        <f t="shared" si="34"/>
        <v>0</v>
      </c>
      <c r="AJ31" s="15" t="b">
        <f t="shared" si="11"/>
        <v>1</v>
      </c>
      <c r="AK31" s="16" t="b">
        <f t="shared" si="12"/>
        <v>1</v>
      </c>
      <c r="AL31" s="16" t="b">
        <f t="shared" si="13"/>
        <v>0</v>
      </c>
      <c r="AM31" s="9">
        <v>34</v>
      </c>
      <c r="AN31">
        <v>0</v>
      </c>
      <c r="AO31">
        <v>0</v>
      </c>
      <c r="AP31" s="12" t="b">
        <f t="shared" si="35"/>
        <v>1</v>
      </c>
      <c r="AQ31" s="12" t="b">
        <f t="shared" si="36"/>
        <v>0</v>
      </c>
      <c r="AR31" s="12" t="b">
        <f t="shared" si="37"/>
        <v>0</v>
      </c>
      <c r="AS31" s="15" t="b">
        <f t="shared" si="15"/>
        <v>1</v>
      </c>
      <c r="AT31" s="16" t="b">
        <f t="shared" si="16"/>
        <v>0</v>
      </c>
      <c r="AU31" s="16" t="b">
        <f t="shared" si="17"/>
        <v>0</v>
      </c>
      <c r="AV31" s="21" t="b">
        <v>0</v>
      </c>
      <c r="AW31" s="12" t="b">
        <v>0</v>
      </c>
      <c r="AX31" s="12" t="b">
        <v>0</v>
      </c>
      <c r="AY31" s="15" t="b">
        <f t="shared" si="18"/>
        <v>0</v>
      </c>
      <c r="AZ31" s="16" t="b">
        <f t="shared" si="19"/>
        <v>0</v>
      </c>
      <c r="BA31" s="16" t="b">
        <f t="shared" si="20"/>
        <v>0</v>
      </c>
      <c r="BB31" s="21" t="b">
        <v>0</v>
      </c>
      <c r="BC31" s="12" t="b">
        <v>0</v>
      </c>
      <c r="BD31" s="12" t="b">
        <v>0</v>
      </c>
      <c r="BE31" s="15" t="b">
        <f t="shared" si="21"/>
        <v>0</v>
      </c>
      <c r="BF31" s="16" t="b">
        <f t="shared" si="22"/>
        <v>0</v>
      </c>
      <c r="BG31" s="16" t="b">
        <f t="shared" si="23"/>
        <v>0</v>
      </c>
      <c r="BH31" s="21" t="b">
        <v>0</v>
      </c>
      <c r="BI31" s="12" t="b">
        <v>0</v>
      </c>
      <c r="BJ31" s="12" t="b">
        <v>0</v>
      </c>
      <c r="BK31" s="15" t="b">
        <f t="shared" si="24"/>
        <v>0</v>
      </c>
      <c r="BL31" s="16" t="b">
        <f t="shared" si="25"/>
        <v>0</v>
      </c>
      <c r="BM31" s="16" t="b">
        <f t="shared" si="26"/>
        <v>0</v>
      </c>
    </row>
    <row r="32" spans="1:65" s="4" customFormat="1" x14ac:dyDescent="0.2">
      <c r="A32" s="3" t="s">
        <v>10</v>
      </c>
      <c r="B32" s="4" t="b">
        <f t="shared" si="30"/>
        <v>1</v>
      </c>
      <c r="C32" s="4" t="b">
        <f t="shared" si="31"/>
        <v>0</v>
      </c>
      <c r="D32" s="4" t="b">
        <f t="shared" si="1"/>
        <v>1</v>
      </c>
      <c r="E32" s="4">
        <v>4</v>
      </c>
      <c r="F32" s="4" t="b">
        <v>1</v>
      </c>
      <c r="G32" s="4" t="b">
        <v>0</v>
      </c>
      <c r="H32" s="4" t="b">
        <v>0</v>
      </c>
      <c r="U32" s="10">
        <v>74</v>
      </c>
      <c r="V32" s="4">
        <v>2</v>
      </c>
      <c r="W32" s="4">
        <v>0</v>
      </c>
      <c r="X32" s="13" t="b">
        <f t="shared" si="27"/>
        <v>1</v>
      </c>
      <c r="Y32" s="13" t="b">
        <f t="shared" si="28"/>
        <v>1</v>
      </c>
      <c r="Z32" s="13" t="b">
        <f t="shared" si="29"/>
        <v>0</v>
      </c>
      <c r="AA32" s="17" t="b">
        <f t="shared" si="7"/>
        <v>1</v>
      </c>
      <c r="AB32" s="18" t="b">
        <f t="shared" si="8"/>
        <v>0</v>
      </c>
      <c r="AC32" s="18" t="b">
        <f t="shared" si="9"/>
        <v>0</v>
      </c>
      <c r="AD32" s="10">
        <v>9</v>
      </c>
      <c r="AE32" s="4">
        <v>3</v>
      </c>
      <c r="AF32" s="4">
        <v>0</v>
      </c>
      <c r="AG32" s="13" t="b">
        <f t="shared" si="32"/>
        <v>1</v>
      </c>
      <c r="AH32" s="13" t="b">
        <f t="shared" si="33"/>
        <v>1</v>
      </c>
      <c r="AI32" s="13" t="b">
        <f t="shared" si="34"/>
        <v>0</v>
      </c>
      <c r="AJ32" s="17" t="b">
        <f t="shared" si="11"/>
        <v>1</v>
      </c>
      <c r="AK32" s="18" t="b">
        <f t="shared" si="12"/>
        <v>0</v>
      </c>
      <c r="AL32" s="18" t="b">
        <f t="shared" si="13"/>
        <v>0</v>
      </c>
      <c r="AM32" s="10">
        <v>34</v>
      </c>
      <c r="AN32" s="4">
        <v>0</v>
      </c>
      <c r="AO32" s="4">
        <v>0</v>
      </c>
      <c r="AP32" s="13" t="b">
        <f t="shared" si="35"/>
        <v>1</v>
      </c>
      <c r="AQ32" s="13" t="b">
        <f t="shared" si="36"/>
        <v>0</v>
      </c>
      <c r="AR32" s="13" t="b">
        <f t="shared" si="37"/>
        <v>0</v>
      </c>
      <c r="AS32" s="17" t="b">
        <f t="shared" si="15"/>
        <v>1</v>
      </c>
      <c r="AT32" s="18" t="b">
        <f t="shared" si="16"/>
        <v>0</v>
      </c>
      <c r="AU32" s="18" t="b">
        <f t="shared" si="17"/>
        <v>0</v>
      </c>
      <c r="AV32" s="23" t="b">
        <v>0</v>
      </c>
      <c r="AW32" s="13" t="b">
        <v>0</v>
      </c>
      <c r="AX32" s="13" t="b">
        <v>0</v>
      </c>
      <c r="AY32" s="17" t="b">
        <f t="shared" si="18"/>
        <v>0</v>
      </c>
      <c r="AZ32" s="18" t="b">
        <f t="shared" si="19"/>
        <v>0</v>
      </c>
      <c r="BA32" s="18" t="b">
        <f t="shared" si="20"/>
        <v>0</v>
      </c>
      <c r="BB32" s="23" t="b">
        <v>0</v>
      </c>
      <c r="BC32" s="13" t="b">
        <v>0</v>
      </c>
      <c r="BD32" s="13" t="b">
        <v>0</v>
      </c>
      <c r="BE32" s="17" t="b">
        <f t="shared" si="21"/>
        <v>0</v>
      </c>
      <c r="BF32" s="18" t="b">
        <f t="shared" si="22"/>
        <v>0</v>
      </c>
      <c r="BG32" s="18" t="b">
        <f t="shared" si="23"/>
        <v>0</v>
      </c>
      <c r="BH32" s="23" t="b">
        <v>0</v>
      </c>
      <c r="BI32" s="13" t="b">
        <v>0</v>
      </c>
      <c r="BJ32" s="13" t="b">
        <v>0</v>
      </c>
      <c r="BK32" s="17" t="b">
        <f t="shared" si="24"/>
        <v>0</v>
      </c>
      <c r="BL32" s="18" t="b">
        <f t="shared" si="25"/>
        <v>0</v>
      </c>
      <c r="BM32" s="18" t="b">
        <f t="shared" si="26"/>
        <v>0</v>
      </c>
    </row>
    <row r="33" spans="1:65" x14ac:dyDescent="0.2">
      <c r="A33" s="2" t="s">
        <v>11</v>
      </c>
      <c r="B33" t="b">
        <f t="shared" si="30"/>
        <v>0</v>
      </c>
      <c r="C33" t="b">
        <f t="shared" si="31"/>
        <v>0</v>
      </c>
      <c r="D33" t="b">
        <f t="shared" si="1"/>
        <v>1</v>
      </c>
      <c r="E33">
        <v>0</v>
      </c>
      <c r="F33" t="b">
        <v>1</v>
      </c>
      <c r="G33" t="b">
        <v>1</v>
      </c>
      <c r="H33" t="b">
        <v>1</v>
      </c>
      <c r="I33">
        <v>0.72876164815515199</v>
      </c>
      <c r="J33">
        <v>0.99652053927469197</v>
      </c>
      <c r="K33">
        <v>0.80933901447686296</v>
      </c>
      <c r="L33">
        <v>0.57605085765695996</v>
      </c>
      <c r="M33">
        <v>0.74319806252137399</v>
      </c>
      <c r="N33">
        <v>0.99475844950976</v>
      </c>
      <c r="O33">
        <v>0.82856167454529295</v>
      </c>
      <c r="P33">
        <v>0.67789288343777199</v>
      </c>
      <c r="U33" s="9">
        <v>0</v>
      </c>
      <c r="V33">
        <v>0</v>
      </c>
      <c r="W33">
        <v>0</v>
      </c>
      <c r="X33" s="12" t="b">
        <f t="shared" si="27"/>
        <v>0</v>
      </c>
      <c r="Y33" s="12" t="b">
        <f t="shared" si="28"/>
        <v>0</v>
      </c>
      <c r="Z33" s="12" t="b">
        <f t="shared" si="29"/>
        <v>0</v>
      </c>
      <c r="AA33" s="15" t="b">
        <f t="shared" si="7"/>
        <v>0</v>
      </c>
      <c r="AB33" s="16" t="b">
        <f t="shared" si="8"/>
        <v>0</v>
      </c>
      <c r="AC33" s="16" t="b">
        <f t="shared" si="9"/>
        <v>0</v>
      </c>
      <c r="AD33" s="9">
        <v>10</v>
      </c>
      <c r="AE33">
        <v>0</v>
      </c>
      <c r="AF33">
        <v>0</v>
      </c>
      <c r="AG33" s="12" t="b">
        <f t="shared" si="32"/>
        <v>1</v>
      </c>
      <c r="AH33" s="12" t="b">
        <f t="shared" si="33"/>
        <v>0</v>
      </c>
      <c r="AI33" s="12" t="b">
        <f t="shared" si="34"/>
        <v>0</v>
      </c>
      <c r="AJ33" s="15" t="b">
        <f t="shared" si="11"/>
        <v>1</v>
      </c>
      <c r="AK33" s="16" t="b">
        <f t="shared" si="12"/>
        <v>0</v>
      </c>
      <c r="AL33" s="16" t="b">
        <f t="shared" si="13"/>
        <v>0</v>
      </c>
      <c r="AM33" s="9">
        <v>2</v>
      </c>
      <c r="AN33">
        <v>0</v>
      </c>
      <c r="AO33">
        <v>0</v>
      </c>
      <c r="AP33" s="12" t="b">
        <f t="shared" si="35"/>
        <v>1</v>
      </c>
      <c r="AQ33" s="12" t="b">
        <f t="shared" si="36"/>
        <v>0</v>
      </c>
      <c r="AR33" s="12" t="b">
        <f t="shared" si="37"/>
        <v>0</v>
      </c>
      <c r="AS33" s="15" t="b">
        <f t="shared" si="15"/>
        <v>1</v>
      </c>
      <c r="AT33" s="16" t="b">
        <f t="shared" si="16"/>
        <v>0</v>
      </c>
      <c r="AU33" s="16" t="b">
        <f t="shared" si="17"/>
        <v>0</v>
      </c>
      <c r="AV33" s="21" t="b">
        <v>1</v>
      </c>
      <c r="AW33" s="22" t="b">
        <v>1</v>
      </c>
      <c r="AX33" s="22" t="b">
        <v>1</v>
      </c>
      <c r="AY33" s="15" t="b">
        <f t="shared" si="18"/>
        <v>1</v>
      </c>
      <c r="AZ33" s="16" t="b">
        <f t="shared" si="19"/>
        <v>1</v>
      </c>
      <c r="BA33" s="16" t="b">
        <f t="shared" si="20"/>
        <v>1</v>
      </c>
      <c r="BB33" s="21" t="b">
        <v>1</v>
      </c>
      <c r="BC33" s="22" t="b">
        <v>1</v>
      </c>
      <c r="BD33" s="22" t="b">
        <v>1</v>
      </c>
      <c r="BE33" s="15" t="b">
        <f t="shared" si="21"/>
        <v>1</v>
      </c>
      <c r="BF33" s="16" t="b">
        <f t="shared" si="22"/>
        <v>1</v>
      </c>
      <c r="BG33" s="16" t="b">
        <f t="shared" si="23"/>
        <v>1</v>
      </c>
      <c r="BH33" s="21" t="b">
        <v>0</v>
      </c>
      <c r="BI33" s="22" t="b">
        <v>0</v>
      </c>
      <c r="BJ33" s="22" t="b">
        <v>0</v>
      </c>
      <c r="BK33" s="15" t="b">
        <f t="shared" si="24"/>
        <v>0</v>
      </c>
      <c r="BL33" s="16" t="b">
        <f t="shared" si="25"/>
        <v>0</v>
      </c>
      <c r="BM33" s="16" t="b">
        <f t="shared" si="26"/>
        <v>0</v>
      </c>
    </row>
    <row r="34" spans="1:65" s="4" customFormat="1" x14ac:dyDescent="0.2">
      <c r="A34" s="3" t="s">
        <v>11</v>
      </c>
      <c r="B34" s="4" t="b">
        <f t="shared" si="30"/>
        <v>0</v>
      </c>
      <c r="C34" s="4" t="b">
        <f t="shared" si="31"/>
        <v>0</v>
      </c>
      <c r="D34" s="4" t="b">
        <f t="shared" si="1"/>
        <v>1</v>
      </c>
      <c r="E34" s="4">
        <v>1</v>
      </c>
      <c r="F34" s="4" t="b">
        <v>1</v>
      </c>
      <c r="G34" s="4" t="b">
        <v>0</v>
      </c>
      <c r="H34" s="4" t="b">
        <v>0</v>
      </c>
      <c r="I34" s="4">
        <v>0.78092986603624903</v>
      </c>
      <c r="J34" s="4">
        <v>0.98544785920672395</v>
      </c>
      <c r="K34" s="4">
        <v>0.82783969379713995</v>
      </c>
      <c r="L34" s="4">
        <v>0.78032946827272998</v>
      </c>
      <c r="M34" s="4">
        <v>0.60538730153876597</v>
      </c>
      <c r="N34" s="4">
        <v>0.98098965613642697</v>
      </c>
      <c r="O34" s="4">
        <v>0.69842093729615096</v>
      </c>
      <c r="P34" s="4">
        <v>0.60197720462328697</v>
      </c>
      <c r="U34" s="10">
        <v>0</v>
      </c>
      <c r="V34" s="4">
        <v>0</v>
      </c>
      <c r="W34" s="4">
        <v>0</v>
      </c>
      <c r="X34" s="13" t="b">
        <f t="shared" si="27"/>
        <v>0</v>
      </c>
      <c r="Y34" s="13" t="b">
        <f t="shared" si="28"/>
        <v>0</v>
      </c>
      <c r="Z34" s="13" t="b">
        <f t="shared" si="29"/>
        <v>0</v>
      </c>
      <c r="AA34" s="17" t="b">
        <f t="shared" si="7"/>
        <v>0</v>
      </c>
      <c r="AB34" s="18" t="b">
        <f t="shared" si="8"/>
        <v>0</v>
      </c>
      <c r="AC34" s="18" t="b">
        <f t="shared" si="9"/>
        <v>0</v>
      </c>
      <c r="AD34" s="10">
        <v>10</v>
      </c>
      <c r="AE34" s="4">
        <v>0</v>
      </c>
      <c r="AF34" s="4">
        <v>0</v>
      </c>
      <c r="AG34" s="13" t="b">
        <f t="shared" si="32"/>
        <v>1</v>
      </c>
      <c r="AH34" s="13" t="b">
        <f t="shared" si="33"/>
        <v>0</v>
      </c>
      <c r="AI34" s="13" t="b">
        <f t="shared" si="34"/>
        <v>0</v>
      </c>
      <c r="AJ34" s="17" t="b">
        <f t="shared" si="11"/>
        <v>1</v>
      </c>
      <c r="AK34" s="18" t="b">
        <f t="shared" si="12"/>
        <v>0</v>
      </c>
      <c r="AL34" s="18" t="b">
        <f t="shared" si="13"/>
        <v>0</v>
      </c>
      <c r="AM34" s="10">
        <v>2</v>
      </c>
      <c r="AN34" s="4">
        <v>0</v>
      </c>
      <c r="AO34" s="4">
        <v>0</v>
      </c>
      <c r="AP34" s="13" t="b">
        <f t="shared" si="35"/>
        <v>1</v>
      </c>
      <c r="AQ34" s="13" t="b">
        <f t="shared" si="36"/>
        <v>0</v>
      </c>
      <c r="AR34" s="13" t="b">
        <f t="shared" si="37"/>
        <v>0</v>
      </c>
      <c r="AS34" s="17" t="b">
        <f t="shared" si="15"/>
        <v>1</v>
      </c>
      <c r="AT34" s="18" t="b">
        <f t="shared" si="16"/>
        <v>0</v>
      </c>
      <c r="AU34" s="18" t="b">
        <f t="shared" si="17"/>
        <v>0</v>
      </c>
      <c r="AV34" s="23" t="b">
        <v>1</v>
      </c>
      <c r="AW34" s="13" t="b">
        <v>1</v>
      </c>
      <c r="AX34" s="13" t="b">
        <v>1</v>
      </c>
      <c r="AY34" s="17" t="b">
        <f t="shared" si="18"/>
        <v>1</v>
      </c>
      <c r="AZ34" s="18" t="b">
        <f t="shared" si="19"/>
        <v>0</v>
      </c>
      <c r="BA34" s="18" t="b">
        <f t="shared" si="20"/>
        <v>0</v>
      </c>
      <c r="BB34" s="23" t="b">
        <v>1</v>
      </c>
      <c r="BC34" s="13" t="b">
        <v>1</v>
      </c>
      <c r="BD34" s="13" t="b">
        <v>1</v>
      </c>
      <c r="BE34" s="17" t="b">
        <f t="shared" si="21"/>
        <v>1</v>
      </c>
      <c r="BF34" s="18" t="b">
        <f t="shared" si="22"/>
        <v>0</v>
      </c>
      <c r="BG34" s="18" t="b">
        <f t="shared" si="23"/>
        <v>0</v>
      </c>
      <c r="BH34" s="23" t="b">
        <v>0</v>
      </c>
      <c r="BI34" s="13" t="b">
        <v>0</v>
      </c>
      <c r="BJ34" s="13" t="b">
        <v>0</v>
      </c>
      <c r="BK34" s="17" t="b">
        <f t="shared" si="24"/>
        <v>0</v>
      </c>
      <c r="BL34" s="18" t="b">
        <f t="shared" si="25"/>
        <v>0</v>
      </c>
      <c r="BM34" s="18" t="b">
        <f t="shared" si="26"/>
        <v>0</v>
      </c>
    </row>
    <row r="35" spans="1:65" x14ac:dyDescent="0.2">
      <c r="A35" s="2" t="s">
        <v>12</v>
      </c>
      <c r="B35" t="b">
        <f t="shared" si="30"/>
        <v>0</v>
      </c>
      <c r="C35" t="b">
        <f t="shared" si="31"/>
        <v>0</v>
      </c>
      <c r="D35" t="b">
        <f t="shared" ref="D35:D58" si="38">COUNTIF($A$3:$A$58,A35)&gt;1</f>
        <v>1</v>
      </c>
      <c r="E35">
        <v>0</v>
      </c>
      <c r="F35" t="b">
        <v>1</v>
      </c>
      <c r="G35" t="b">
        <v>1</v>
      </c>
      <c r="H35" t="b">
        <v>1</v>
      </c>
      <c r="I35">
        <v>0.69828875398776802</v>
      </c>
      <c r="J35">
        <v>0.99787386057730199</v>
      </c>
      <c r="K35">
        <v>0.81095508541133798</v>
      </c>
      <c r="L35">
        <v>0.64840985928516004</v>
      </c>
      <c r="M35">
        <v>0.69395150222612201</v>
      </c>
      <c r="N35">
        <v>0.99784772064996397</v>
      </c>
      <c r="O35">
        <v>0.80794136521024496</v>
      </c>
      <c r="P35">
        <v>0.64158488570253203</v>
      </c>
      <c r="Q35">
        <v>0.67110222968950595</v>
      </c>
      <c r="R35">
        <v>0.98143996236659703</v>
      </c>
      <c r="S35">
        <v>0.79287866267146601</v>
      </c>
      <c r="T35">
        <v>0.617164926446513</v>
      </c>
      <c r="U35" s="9">
        <v>6</v>
      </c>
      <c r="V35">
        <v>0</v>
      </c>
      <c r="W35">
        <v>0</v>
      </c>
      <c r="X35" s="12" t="b">
        <f t="shared" si="27"/>
        <v>1</v>
      </c>
      <c r="Y35" s="12" t="b">
        <f t="shared" si="28"/>
        <v>0</v>
      </c>
      <c r="Z35" s="12" t="b">
        <f t="shared" si="29"/>
        <v>0</v>
      </c>
      <c r="AA35" s="15" t="b">
        <f t="shared" si="7"/>
        <v>1</v>
      </c>
      <c r="AB35" s="16" t="b">
        <f t="shared" si="8"/>
        <v>0</v>
      </c>
      <c r="AC35" s="16" t="b">
        <f t="shared" si="9"/>
        <v>0</v>
      </c>
      <c r="AD35" s="9">
        <v>4</v>
      </c>
      <c r="AE35">
        <v>0</v>
      </c>
      <c r="AF35">
        <v>0</v>
      </c>
      <c r="AG35" s="12" t="b">
        <f t="shared" si="32"/>
        <v>1</v>
      </c>
      <c r="AH35" s="12" t="b">
        <f t="shared" si="33"/>
        <v>0</v>
      </c>
      <c r="AI35" s="12" t="b">
        <f t="shared" si="34"/>
        <v>0</v>
      </c>
      <c r="AJ35" s="15" t="b">
        <f t="shared" si="11"/>
        <v>1</v>
      </c>
      <c r="AK35" s="16" t="b">
        <f t="shared" si="12"/>
        <v>0</v>
      </c>
      <c r="AL35" s="16" t="b">
        <f t="shared" si="13"/>
        <v>0</v>
      </c>
      <c r="AM35" s="9">
        <v>28</v>
      </c>
      <c r="AN35">
        <v>0</v>
      </c>
      <c r="AO35">
        <v>0</v>
      </c>
      <c r="AP35" s="12" t="b">
        <f t="shared" si="35"/>
        <v>1</v>
      </c>
      <c r="AQ35" s="12" t="b">
        <f t="shared" si="36"/>
        <v>0</v>
      </c>
      <c r="AR35" s="12" t="b">
        <f t="shared" si="37"/>
        <v>0</v>
      </c>
      <c r="AS35" s="15" t="b">
        <f t="shared" si="15"/>
        <v>1</v>
      </c>
      <c r="AT35" s="16" t="b">
        <f t="shared" si="16"/>
        <v>0</v>
      </c>
      <c r="AU35" s="16" t="b">
        <f t="shared" si="17"/>
        <v>0</v>
      </c>
      <c r="AV35" s="21" t="b">
        <v>1</v>
      </c>
      <c r="AW35" s="12" t="b">
        <v>1</v>
      </c>
      <c r="AX35" s="22" t="b">
        <v>1</v>
      </c>
      <c r="AY35" s="15" t="b">
        <f t="shared" si="18"/>
        <v>1</v>
      </c>
      <c r="AZ35" s="16" t="b">
        <f t="shared" si="19"/>
        <v>1</v>
      </c>
      <c r="BA35" s="16" t="b">
        <f t="shared" si="20"/>
        <v>1</v>
      </c>
      <c r="BB35" s="21" t="b">
        <v>1</v>
      </c>
      <c r="BC35" s="12" t="b">
        <v>1</v>
      </c>
      <c r="BD35" s="22" t="b">
        <v>1</v>
      </c>
      <c r="BE35" s="15" t="b">
        <f t="shared" si="21"/>
        <v>1</v>
      </c>
      <c r="BF35" s="16" t="b">
        <f t="shared" si="22"/>
        <v>1</v>
      </c>
      <c r="BG35" s="16" t="b">
        <f t="shared" si="23"/>
        <v>1</v>
      </c>
      <c r="BH35" s="21" t="b">
        <v>1</v>
      </c>
      <c r="BI35" s="12" t="b">
        <v>1</v>
      </c>
      <c r="BJ35" s="22" t="b">
        <v>1</v>
      </c>
      <c r="BK35" s="15" t="b">
        <f t="shared" si="24"/>
        <v>1</v>
      </c>
      <c r="BL35" s="16" t="b">
        <f t="shared" si="25"/>
        <v>1</v>
      </c>
      <c r="BM35" s="16" t="b">
        <f t="shared" si="26"/>
        <v>1</v>
      </c>
    </row>
    <row r="36" spans="1:65" x14ac:dyDescent="0.2">
      <c r="A36" s="2" t="s">
        <v>12</v>
      </c>
      <c r="B36" t="b">
        <f t="shared" si="30"/>
        <v>0</v>
      </c>
      <c r="C36" t="b">
        <f t="shared" si="31"/>
        <v>0</v>
      </c>
      <c r="D36" t="b">
        <f t="shared" si="38"/>
        <v>1</v>
      </c>
      <c r="E36">
        <v>1</v>
      </c>
      <c r="F36" t="b">
        <v>1</v>
      </c>
      <c r="G36" t="b">
        <v>1</v>
      </c>
      <c r="H36" t="b">
        <v>0</v>
      </c>
      <c r="I36">
        <v>0.55763518144126301</v>
      </c>
      <c r="J36">
        <v>0.97906804208019305</v>
      </c>
      <c r="K36">
        <v>0.69902192303276001</v>
      </c>
      <c r="L36">
        <v>0.52570693667161095</v>
      </c>
      <c r="M36">
        <v>0.55459961412650005</v>
      </c>
      <c r="N36">
        <v>0.97115336929946405</v>
      </c>
      <c r="O36">
        <v>0.69562660931185005</v>
      </c>
      <c r="P36">
        <v>0.51100716914998301</v>
      </c>
      <c r="Q36">
        <v>0.46960073349735598</v>
      </c>
      <c r="R36">
        <v>0.84747659747659698</v>
      </c>
      <c r="S36">
        <v>0.62739081540420405</v>
      </c>
      <c r="T36">
        <v>0.44037346749562001</v>
      </c>
      <c r="U36" s="9">
        <v>6</v>
      </c>
      <c r="V36">
        <v>0</v>
      </c>
      <c r="W36">
        <v>0</v>
      </c>
      <c r="X36" s="12" t="b">
        <f t="shared" si="27"/>
        <v>1</v>
      </c>
      <c r="Y36" s="12" t="b">
        <f t="shared" si="28"/>
        <v>0</v>
      </c>
      <c r="Z36" s="12" t="b">
        <f t="shared" si="29"/>
        <v>0</v>
      </c>
      <c r="AA36" s="15" t="b">
        <f t="shared" si="7"/>
        <v>1</v>
      </c>
      <c r="AB36" s="16" t="b">
        <f t="shared" si="8"/>
        <v>0</v>
      </c>
      <c r="AC36" s="16" t="b">
        <f t="shared" si="9"/>
        <v>0</v>
      </c>
      <c r="AD36" s="9">
        <v>4</v>
      </c>
      <c r="AE36">
        <v>0</v>
      </c>
      <c r="AF36">
        <v>0</v>
      </c>
      <c r="AG36" s="12" t="b">
        <f t="shared" si="32"/>
        <v>1</v>
      </c>
      <c r="AH36" s="12" t="b">
        <f t="shared" si="33"/>
        <v>0</v>
      </c>
      <c r="AI36" s="12" t="b">
        <f t="shared" si="34"/>
        <v>0</v>
      </c>
      <c r="AJ36" s="15" t="b">
        <f t="shared" si="11"/>
        <v>1</v>
      </c>
      <c r="AK36" s="16" t="b">
        <f t="shared" si="12"/>
        <v>0</v>
      </c>
      <c r="AL36" s="16" t="b">
        <f t="shared" si="13"/>
        <v>0</v>
      </c>
      <c r="AM36" s="9">
        <v>28</v>
      </c>
      <c r="AN36">
        <v>0</v>
      </c>
      <c r="AO36">
        <v>0</v>
      </c>
      <c r="AP36" s="12" t="b">
        <f t="shared" si="35"/>
        <v>1</v>
      </c>
      <c r="AQ36" s="12" t="b">
        <f t="shared" si="36"/>
        <v>0</v>
      </c>
      <c r="AR36" s="12" t="b">
        <f t="shared" si="37"/>
        <v>0</v>
      </c>
      <c r="AS36" s="15" t="b">
        <f t="shared" si="15"/>
        <v>1</v>
      </c>
      <c r="AT36" s="16" t="b">
        <f t="shared" si="16"/>
        <v>0</v>
      </c>
      <c r="AU36" s="16" t="b">
        <f t="shared" si="17"/>
        <v>0</v>
      </c>
      <c r="AV36" s="21" t="b">
        <v>1</v>
      </c>
      <c r="AW36" s="12" t="b">
        <v>1</v>
      </c>
      <c r="AX36" s="22" t="b">
        <v>0</v>
      </c>
      <c r="AY36" s="15" t="b">
        <f t="shared" si="18"/>
        <v>1</v>
      </c>
      <c r="AZ36" s="16" t="b">
        <f t="shared" si="19"/>
        <v>1</v>
      </c>
      <c r="BA36" s="16" t="b">
        <f t="shared" si="20"/>
        <v>0</v>
      </c>
      <c r="BB36" s="21" t="b">
        <v>1</v>
      </c>
      <c r="BC36" s="12" t="b">
        <v>1</v>
      </c>
      <c r="BD36" s="22" t="b">
        <v>0</v>
      </c>
      <c r="BE36" s="15" t="b">
        <f t="shared" si="21"/>
        <v>1</v>
      </c>
      <c r="BF36" s="16" t="b">
        <f t="shared" si="22"/>
        <v>1</v>
      </c>
      <c r="BG36" s="16" t="b">
        <f t="shared" si="23"/>
        <v>0</v>
      </c>
      <c r="BH36" s="21" t="b">
        <v>1</v>
      </c>
      <c r="BI36" s="12" t="b">
        <v>1</v>
      </c>
      <c r="BJ36" s="22" t="b">
        <v>0</v>
      </c>
      <c r="BK36" s="15" t="b">
        <f t="shared" si="24"/>
        <v>1</v>
      </c>
      <c r="BL36" s="16" t="b">
        <f t="shared" si="25"/>
        <v>1</v>
      </c>
      <c r="BM36" s="16" t="b">
        <f t="shared" si="26"/>
        <v>0</v>
      </c>
    </row>
    <row r="37" spans="1:65" s="4" customFormat="1" x14ac:dyDescent="0.2">
      <c r="A37" s="3" t="s">
        <v>12</v>
      </c>
      <c r="B37" s="4" t="b">
        <f t="shared" si="30"/>
        <v>0</v>
      </c>
      <c r="C37" s="4" t="b">
        <f t="shared" si="31"/>
        <v>0</v>
      </c>
      <c r="D37" s="4" t="b">
        <f t="shared" si="38"/>
        <v>1</v>
      </c>
      <c r="E37" s="4">
        <v>2</v>
      </c>
      <c r="F37" s="4" t="b">
        <v>1</v>
      </c>
      <c r="G37" s="4" t="b">
        <v>1</v>
      </c>
      <c r="H37" s="4" t="b">
        <v>0</v>
      </c>
      <c r="I37" s="4">
        <v>0.90179006141801898</v>
      </c>
      <c r="J37" s="4">
        <v>0.99982783590162705</v>
      </c>
      <c r="K37" s="4">
        <v>0.92915710143043295</v>
      </c>
      <c r="L37" s="4">
        <v>0.90153870350667997</v>
      </c>
      <c r="M37" s="4">
        <v>0.88924917292163597</v>
      </c>
      <c r="N37" s="4">
        <v>0.99975853320074404</v>
      </c>
      <c r="O37" s="4">
        <v>0.91985203436201401</v>
      </c>
      <c r="P37" s="4">
        <v>0.88888579941468904</v>
      </c>
      <c r="Q37" s="4">
        <v>0.87639604810996496</v>
      </c>
      <c r="R37" s="4">
        <v>0.99675009043226603</v>
      </c>
      <c r="S37" s="4">
        <v>0.91101088201603597</v>
      </c>
      <c r="T37" s="4">
        <v>0.87639604810996496</v>
      </c>
      <c r="U37" s="10">
        <v>6</v>
      </c>
      <c r="V37" s="4">
        <v>0</v>
      </c>
      <c r="W37" s="4">
        <v>0</v>
      </c>
      <c r="X37" s="13" t="b">
        <f t="shared" si="27"/>
        <v>1</v>
      </c>
      <c r="Y37" s="13" t="b">
        <f t="shared" si="28"/>
        <v>0</v>
      </c>
      <c r="Z37" s="13" t="b">
        <f t="shared" si="29"/>
        <v>0</v>
      </c>
      <c r="AA37" s="17" t="b">
        <f t="shared" si="7"/>
        <v>1</v>
      </c>
      <c r="AB37" s="18" t="b">
        <f t="shared" si="8"/>
        <v>0</v>
      </c>
      <c r="AC37" s="18" t="b">
        <f t="shared" si="9"/>
        <v>0</v>
      </c>
      <c r="AD37" s="10">
        <v>4</v>
      </c>
      <c r="AE37" s="4">
        <v>0</v>
      </c>
      <c r="AF37" s="4">
        <v>0</v>
      </c>
      <c r="AG37" s="13" t="b">
        <f t="shared" si="32"/>
        <v>1</v>
      </c>
      <c r="AH37" s="13" t="b">
        <f t="shared" si="33"/>
        <v>0</v>
      </c>
      <c r="AI37" s="13" t="b">
        <f t="shared" si="34"/>
        <v>0</v>
      </c>
      <c r="AJ37" s="17" t="b">
        <f t="shared" si="11"/>
        <v>1</v>
      </c>
      <c r="AK37" s="18" t="b">
        <f t="shared" si="12"/>
        <v>0</v>
      </c>
      <c r="AL37" s="18" t="b">
        <f t="shared" si="13"/>
        <v>0</v>
      </c>
      <c r="AM37" s="10">
        <v>28</v>
      </c>
      <c r="AN37" s="4">
        <v>0</v>
      </c>
      <c r="AO37" s="4">
        <v>0</v>
      </c>
      <c r="AP37" s="13" t="b">
        <f t="shared" si="35"/>
        <v>1</v>
      </c>
      <c r="AQ37" s="13" t="b">
        <f t="shared" si="36"/>
        <v>0</v>
      </c>
      <c r="AR37" s="13" t="b">
        <f t="shared" si="37"/>
        <v>0</v>
      </c>
      <c r="AS37" s="17" t="b">
        <f t="shared" si="15"/>
        <v>1</v>
      </c>
      <c r="AT37" s="18" t="b">
        <f t="shared" si="16"/>
        <v>0</v>
      </c>
      <c r="AU37" s="18" t="b">
        <f t="shared" si="17"/>
        <v>0</v>
      </c>
      <c r="AV37" s="23" t="b">
        <v>1</v>
      </c>
      <c r="AW37" s="13" t="b">
        <v>1</v>
      </c>
      <c r="AX37" s="13" t="b">
        <v>1</v>
      </c>
      <c r="AY37" s="17" t="b">
        <f t="shared" si="18"/>
        <v>1</v>
      </c>
      <c r="AZ37" s="18" t="b">
        <f t="shared" si="19"/>
        <v>1</v>
      </c>
      <c r="BA37" s="18" t="b">
        <f t="shared" si="20"/>
        <v>0</v>
      </c>
      <c r="BB37" s="23" t="b">
        <v>1</v>
      </c>
      <c r="BC37" s="13" t="b">
        <v>1</v>
      </c>
      <c r="BD37" s="13" t="b">
        <v>1</v>
      </c>
      <c r="BE37" s="17" t="b">
        <f t="shared" si="21"/>
        <v>1</v>
      </c>
      <c r="BF37" s="18" t="b">
        <f t="shared" si="22"/>
        <v>1</v>
      </c>
      <c r="BG37" s="18" t="b">
        <f t="shared" si="23"/>
        <v>0</v>
      </c>
      <c r="BH37" s="23" t="b">
        <v>1</v>
      </c>
      <c r="BI37" s="13" t="b">
        <v>1</v>
      </c>
      <c r="BJ37" s="13" t="b">
        <v>1</v>
      </c>
      <c r="BK37" s="17" t="b">
        <f t="shared" si="24"/>
        <v>1</v>
      </c>
      <c r="BL37" s="18" t="b">
        <f t="shared" si="25"/>
        <v>1</v>
      </c>
      <c r="BM37" s="18" t="b">
        <f t="shared" si="26"/>
        <v>0</v>
      </c>
    </row>
    <row r="38" spans="1:65" x14ac:dyDescent="0.2">
      <c r="A38" s="2" t="s">
        <v>13</v>
      </c>
      <c r="B38" t="b">
        <f t="shared" si="30"/>
        <v>1</v>
      </c>
      <c r="C38" t="b">
        <f t="shared" si="31"/>
        <v>0</v>
      </c>
      <c r="D38" t="b">
        <f t="shared" si="38"/>
        <v>1</v>
      </c>
      <c r="E38">
        <v>0</v>
      </c>
      <c r="F38" t="b">
        <v>1</v>
      </c>
      <c r="G38" t="b">
        <v>1</v>
      </c>
      <c r="H38" t="b">
        <v>1</v>
      </c>
      <c r="M38">
        <v>0.70581033572390195</v>
      </c>
      <c r="N38">
        <v>0.93310606060606005</v>
      </c>
      <c r="O38">
        <v>0.799154063721907</v>
      </c>
      <c r="P38">
        <v>0.69868859401468097</v>
      </c>
      <c r="U38" s="9">
        <v>1</v>
      </c>
      <c r="V38">
        <v>1</v>
      </c>
      <c r="W38">
        <v>0</v>
      </c>
      <c r="X38" s="12" t="b">
        <f t="shared" si="27"/>
        <v>1</v>
      </c>
      <c r="Y38" s="12" t="b">
        <f t="shared" si="28"/>
        <v>1</v>
      </c>
      <c r="Z38" s="12" t="b">
        <f t="shared" si="29"/>
        <v>0</v>
      </c>
      <c r="AA38" s="15" t="b">
        <f t="shared" si="7"/>
        <v>1</v>
      </c>
      <c r="AB38" s="16" t="b">
        <f t="shared" si="8"/>
        <v>1</v>
      </c>
      <c r="AC38" s="16" t="b">
        <f t="shared" si="9"/>
        <v>0</v>
      </c>
      <c r="AD38" s="9">
        <v>1</v>
      </c>
      <c r="AE38">
        <v>0</v>
      </c>
      <c r="AF38">
        <v>0</v>
      </c>
      <c r="AG38" s="12" t="b">
        <f t="shared" si="32"/>
        <v>1</v>
      </c>
      <c r="AH38" s="12" t="b">
        <f t="shared" si="33"/>
        <v>0</v>
      </c>
      <c r="AI38" s="12" t="b">
        <f t="shared" si="34"/>
        <v>0</v>
      </c>
      <c r="AJ38" s="15" t="b">
        <f t="shared" si="11"/>
        <v>1</v>
      </c>
      <c r="AK38" s="16" t="b">
        <f t="shared" si="12"/>
        <v>0</v>
      </c>
      <c r="AL38" s="16" t="b">
        <f t="shared" si="13"/>
        <v>0</v>
      </c>
      <c r="AM38" s="9">
        <v>4</v>
      </c>
      <c r="AN38">
        <v>0</v>
      </c>
      <c r="AO38">
        <v>0</v>
      </c>
      <c r="AP38" s="12" t="b">
        <f t="shared" si="35"/>
        <v>1</v>
      </c>
      <c r="AQ38" s="12" t="b">
        <f t="shared" si="36"/>
        <v>0</v>
      </c>
      <c r="AR38" s="12" t="b">
        <f t="shared" si="37"/>
        <v>0</v>
      </c>
      <c r="AS38" s="15" t="b">
        <f t="shared" si="15"/>
        <v>1</v>
      </c>
      <c r="AT38" s="16" t="b">
        <f t="shared" si="16"/>
        <v>0</v>
      </c>
      <c r="AU38" s="16" t="b">
        <f t="shared" si="17"/>
        <v>0</v>
      </c>
      <c r="AV38" s="21" t="b">
        <v>0</v>
      </c>
      <c r="AW38" s="22" t="b">
        <v>0</v>
      </c>
      <c r="AX38" s="22" t="b">
        <v>0</v>
      </c>
      <c r="AY38" s="15" t="b">
        <f t="shared" ref="AY38:BA40" si="39">AND(F38,AV38)</f>
        <v>0</v>
      </c>
      <c r="AZ38" s="16" t="b">
        <f t="shared" si="39"/>
        <v>0</v>
      </c>
      <c r="BA38" s="16" t="b">
        <f t="shared" si="39"/>
        <v>0</v>
      </c>
      <c r="BB38" s="21" t="b">
        <v>1</v>
      </c>
      <c r="BC38" s="12" t="b">
        <v>1</v>
      </c>
      <c r="BD38" s="12" t="b">
        <v>1</v>
      </c>
      <c r="BE38" s="15" t="b">
        <f t="shared" ref="BE38:BG40" si="40">AND(F38,BB38)</f>
        <v>1</v>
      </c>
      <c r="BF38" s="16" t="b">
        <f t="shared" si="40"/>
        <v>1</v>
      </c>
      <c r="BG38" s="16" t="b">
        <f t="shared" si="40"/>
        <v>1</v>
      </c>
      <c r="BH38" s="21" t="b">
        <v>0</v>
      </c>
      <c r="BI38" s="12" t="b">
        <v>0</v>
      </c>
      <c r="BJ38" s="12" t="b">
        <v>0</v>
      </c>
      <c r="BK38" s="15" t="b">
        <f t="shared" si="24"/>
        <v>0</v>
      </c>
      <c r="BL38" s="16" t="b">
        <f t="shared" si="25"/>
        <v>0</v>
      </c>
      <c r="BM38" s="16" t="b">
        <f t="shared" si="26"/>
        <v>0</v>
      </c>
    </row>
    <row r="39" spans="1:65" x14ac:dyDescent="0.2">
      <c r="A39" s="2" t="s">
        <v>13</v>
      </c>
      <c r="B39" t="b">
        <f t="shared" si="30"/>
        <v>1</v>
      </c>
      <c r="C39" t="b">
        <f t="shared" si="31"/>
        <v>0</v>
      </c>
      <c r="D39" t="b">
        <f t="shared" si="38"/>
        <v>1</v>
      </c>
      <c r="E39">
        <v>1</v>
      </c>
      <c r="F39" t="b">
        <v>1</v>
      </c>
      <c r="G39" t="b">
        <v>1</v>
      </c>
      <c r="H39" t="b">
        <v>0</v>
      </c>
      <c r="M39">
        <v>0.49407651554691201</v>
      </c>
      <c r="N39">
        <v>0.79136577708006195</v>
      </c>
      <c r="O39">
        <v>0.64851887688707199</v>
      </c>
      <c r="P39">
        <v>0.491268788682581</v>
      </c>
      <c r="U39" s="9">
        <v>1</v>
      </c>
      <c r="V39">
        <v>1</v>
      </c>
      <c r="W39">
        <v>0</v>
      </c>
      <c r="X39" s="12" t="b">
        <f t="shared" si="27"/>
        <v>1</v>
      </c>
      <c r="Y39" s="12" t="b">
        <f t="shared" si="28"/>
        <v>1</v>
      </c>
      <c r="Z39" s="12" t="b">
        <f t="shared" si="29"/>
        <v>0</v>
      </c>
      <c r="AA39" s="15" t="b">
        <f t="shared" si="7"/>
        <v>1</v>
      </c>
      <c r="AB39" s="16" t="b">
        <f t="shared" si="8"/>
        <v>1</v>
      </c>
      <c r="AC39" s="16" t="b">
        <f t="shared" si="9"/>
        <v>0</v>
      </c>
      <c r="AD39" s="9">
        <v>1</v>
      </c>
      <c r="AE39">
        <v>0</v>
      </c>
      <c r="AF39">
        <v>0</v>
      </c>
      <c r="AG39" s="12" t="b">
        <f t="shared" si="32"/>
        <v>1</v>
      </c>
      <c r="AH39" s="12" t="b">
        <f t="shared" si="33"/>
        <v>0</v>
      </c>
      <c r="AI39" s="12" t="b">
        <f t="shared" si="34"/>
        <v>0</v>
      </c>
      <c r="AJ39" s="15" t="b">
        <f t="shared" si="11"/>
        <v>1</v>
      </c>
      <c r="AK39" s="16" t="b">
        <f t="shared" si="12"/>
        <v>0</v>
      </c>
      <c r="AL39" s="16" t="b">
        <f t="shared" si="13"/>
        <v>0</v>
      </c>
      <c r="AM39" s="9">
        <v>4</v>
      </c>
      <c r="AN39">
        <v>0</v>
      </c>
      <c r="AO39">
        <v>0</v>
      </c>
      <c r="AP39" s="12" t="b">
        <f t="shared" si="35"/>
        <v>1</v>
      </c>
      <c r="AQ39" s="12" t="b">
        <f t="shared" si="36"/>
        <v>0</v>
      </c>
      <c r="AR39" s="12" t="b">
        <f t="shared" si="37"/>
        <v>0</v>
      </c>
      <c r="AS39" s="15" t="b">
        <f t="shared" si="15"/>
        <v>1</v>
      </c>
      <c r="AT39" s="16" t="b">
        <f t="shared" si="16"/>
        <v>0</v>
      </c>
      <c r="AU39" s="16" t="b">
        <f t="shared" si="17"/>
        <v>0</v>
      </c>
      <c r="AV39" s="21" t="b">
        <v>0</v>
      </c>
      <c r="AW39" s="12" t="b">
        <v>0</v>
      </c>
      <c r="AX39" s="12" t="b">
        <v>0</v>
      </c>
      <c r="AY39" s="15" t="b">
        <f t="shared" si="39"/>
        <v>0</v>
      </c>
      <c r="AZ39" s="16" t="b">
        <f t="shared" si="39"/>
        <v>0</v>
      </c>
      <c r="BA39" s="16" t="b">
        <f t="shared" si="39"/>
        <v>0</v>
      </c>
      <c r="BB39" s="21" t="b">
        <v>1</v>
      </c>
      <c r="BC39" s="12" t="b">
        <v>1</v>
      </c>
      <c r="BD39" s="12" t="b">
        <v>0</v>
      </c>
      <c r="BE39" s="15" t="b">
        <f t="shared" si="40"/>
        <v>1</v>
      </c>
      <c r="BF39" s="16" t="b">
        <f t="shared" si="40"/>
        <v>1</v>
      </c>
      <c r="BG39" s="16" t="b">
        <f t="shared" si="40"/>
        <v>0</v>
      </c>
      <c r="BH39" s="21" t="b">
        <v>0</v>
      </c>
      <c r="BI39" s="12" t="b">
        <v>0</v>
      </c>
      <c r="BJ39" s="12" t="b">
        <v>0</v>
      </c>
      <c r="BK39" s="15" t="b">
        <f t="shared" si="24"/>
        <v>0</v>
      </c>
      <c r="BL39" s="16" t="b">
        <f t="shared" si="25"/>
        <v>0</v>
      </c>
      <c r="BM39" s="16" t="b">
        <f t="shared" si="26"/>
        <v>0</v>
      </c>
    </row>
    <row r="40" spans="1:65" x14ac:dyDescent="0.2">
      <c r="A40" s="2" t="s">
        <v>13</v>
      </c>
      <c r="B40" t="b">
        <f t="shared" si="30"/>
        <v>1</v>
      </c>
      <c r="C40" t="b">
        <f t="shared" si="31"/>
        <v>0</v>
      </c>
      <c r="D40" t="b">
        <f t="shared" si="38"/>
        <v>1</v>
      </c>
      <c r="E40">
        <v>2</v>
      </c>
      <c r="F40" t="b">
        <v>1</v>
      </c>
      <c r="G40" t="b">
        <v>1</v>
      </c>
      <c r="H40" t="b">
        <v>1</v>
      </c>
      <c r="M40">
        <v>0.70165601594172999</v>
      </c>
      <c r="N40">
        <v>0.92486772486772395</v>
      </c>
      <c r="O40">
        <v>0.80631429408783595</v>
      </c>
      <c r="P40">
        <v>0.66796536796536699</v>
      </c>
      <c r="U40" s="9">
        <v>1</v>
      </c>
      <c r="V40">
        <v>1</v>
      </c>
      <c r="W40">
        <v>0</v>
      </c>
      <c r="X40" s="12" t="b">
        <f t="shared" si="27"/>
        <v>1</v>
      </c>
      <c r="Y40" s="12" t="b">
        <f t="shared" si="28"/>
        <v>1</v>
      </c>
      <c r="Z40" s="12" t="b">
        <f t="shared" si="29"/>
        <v>0</v>
      </c>
      <c r="AA40" s="15" t="b">
        <f t="shared" si="7"/>
        <v>1</v>
      </c>
      <c r="AB40" s="16" t="b">
        <f t="shared" si="8"/>
        <v>1</v>
      </c>
      <c r="AC40" s="16" t="b">
        <f t="shared" si="9"/>
        <v>0</v>
      </c>
      <c r="AD40" s="9">
        <v>1</v>
      </c>
      <c r="AE40">
        <v>0</v>
      </c>
      <c r="AF40">
        <v>0</v>
      </c>
      <c r="AG40" s="12" t="b">
        <f t="shared" si="32"/>
        <v>1</v>
      </c>
      <c r="AH40" s="12" t="b">
        <f t="shared" si="33"/>
        <v>0</v>
      </c>
      <c r="AI40" s="12" t="b">
        <f t="shared" si="34"/>
        <v>0</v>
      </c>
      <c r="AJ40" s="15" t="b">
        <f t="shared" si="11"/>
        <v>1</v>
      </c>
      <c r="AK40" s="16" t="b">
        <f t="shared" si="12"/>
        <v>0</v>
      </c>
      <c r="AL40" s="16" t="b">
        <f t="shared" si="13"/>
        <v>0</v>
      </c>
      <c r="AM40" s="9">
        <v>4</v>
      </c>
      <c r="AN40">
        <v>0</v>
      </c>
      <c r="AO40">
        <v>0</v>
      </c>
      <c r="AP40" s="12" t="b">
        <f t="shared" si="35"/>
        <v>1</v>
      </c>
      <c r="AQ40" s="12" t="b">
        <f t="shared" si="36"/>
        <v>0</v>
      </c>
      <c r="AR40" s="12" t="b">
        <f t="shared" si="37"/>
        <v>0</v>
      </c>
      <c r="AS40" s="15" t="b">
        <f t="shared" si="15"/>
        <v>1</v>
      </c>
      <c r="AT40" s="16" t="b">
        <f t="shared" si="16"/>
        <v>0</v>
      </c>
      <c r="AU40" s="16" t="b">
        <f t="shared" si="17"/>
        <v>0</v>
      </c>
      <c r="AV40" s="21" t="b">
        <v>0</v>
      </c>
      <c r="AW40" s="12" t="b">
        <v>0</v>
      </c>
      <c r="AX40" s="12" t="b">
        <v>0</v>
      </c>
      <c r="AY40" s="15" t="b">
        <f t="shared" si="39"/>
        <v>0</v>
      </c>
      <c r="AZ40" s="16" t="b">
        <f t="shared" si="39"/>
        <v>0</v>
      </c>
      <c r="BA40" s="16" t="b">
        <f t="shared" si="39"/>
        <v>0</v>
      </c>
      <c r="BB40" s="21" t="b">
        <v>1</v>
      </c>
      <c r="BC40" s="12" t="b">
        <v>1</v>
      </c>
      <c r="BD40" s="12" t="b">
        <v>1</v>
      </c>
      <c r="BE40" s="15" t="b">
        <f t="shared" si="40"/>
        <v>1</v>
      </c>
      <c r="BF40" s="16" t="b">
        <f t="shared" si="40"/>
        <v>1</v>
      </c>
      <c r="BG40" s="16" t="b">
        <f t="shared" si="40"/>
        <v>1</v>
      </c>
      <c r="BH40" s="21" t="b">
        <v>0</v>
      </c>
      <c r="BI40" s="12" t="b">
        <v>0</v>
      </c>
      <c r="BJ40" s="12" t="b">
        <v>0</v>
      </c>
      <c r="BK40" s="15" t="b">
        <f t="shared" si="24"/>
        <v>0</v>
      </c>
      <c r="BL40" s="16" t="b">
        <f t="shared" si="25"/>
        <v>0</v>
      </c>
      <c r="BM40" s="16" t="b">
        <f t="shared" si="26"/>
        <v>0</v>
      </c>
    </row>
    <row r="41" spans="1:65" x14ac:dyDescent="0.2">
      <c r="A41" s="2" t="s">
        <v>13</v>
      </c>
      <c r="B41" t="b">
        <f t="shared" si="30"/>
        <v>1</v>
      </c>
      <c r="C41" t="b">
        <f t="shared" si="31"/>
        <v>0</v>
      </c>
      <c r="D41" t="b">
        <f t="shared" si="38"/>
        <v>1</v>
      </c>
      <c r="E41">
        <v>3</v>
      </c>
      <c r="F41" t="b">
        <v>1</v>
      </c>
      <c r="G41" t="b">
        <v>1</v>
      </c>
      <c r="H41" t="b">
        <v>1</v>
      </c>
      <c r="M41">
        <v>0.70058377369595604</v>
      </c>
      <c r="N41">
        <v>0.90566037735849003</v>
      </c>
      <c r="O41">
        <v>0.81938076156774997</v>
      </c>
      <c r="P41">
        <v>0.58181818181818101</v>
      </c>
      <c r="U41" s="9">
        <v>1</v>
      </c>
      <c r="V41">
        <v>1</v>
      </c>
      <c r="W41">
        <v>0</v>
      </c>
      <c r="X41" s="12" t="b">
        <f t="shared" si="27"/>
        <v>1</v>
      </c>
      <c r="Y41" s="12" t="b">
        <f t="shared" si="28"/>
        <v>1</v>
      </c>
      <c r="Z41" s="12" t="b">
        <f t="shared" si="29"/>
        <v>0</v>
      </c>
      <c r="AA41" s="15" t="b">
        <f t="shared" si="7"/>
        <v>1</v>
      </c>
      <c r="AB41" s="16" t="b">
        <f t="shared" si="8"/>
        <v>1</v>
      </c>
      <c r="AC41" s="16" t="b">
        <f t="shared" si="9"/>
        <v>0</v>
      </c>
      <c r="AD41" s="9">
        <v>1</v>
      </c>
      <c r="AE41">
        <v>0</v>
      </c>
      <c r="AF41">
        <v>0</v>
      </c>
      <c r="AG41" s="12" t="b">
        <f t="shared" si="32"/>
        <v>1</v>
      </c>
      <c r="AH41" s="12" t="b">
        <f t="shared" si="33"/>
        <v>0</v>
      </c>
      <c r="AI41" s="12" t="b">
        <f t="shared" si="34"/>
        <v>0</v>
      </c>
      <c r="AJ41" s="15" t="b">
        <f t="shared" si="11"/>
        <v>1</v>
      </c>
      <c r="AK41" s="16" t="b">
        <f t="shared" si="12"/>
        <v>0</v>
      </c>
      <c r="AL41" s="16" t="b">
        <f t="shared" si="13"/>
        <v>0</v>
      </c>
      <c r="AM41" s="9">
        <v>4</v>
      </c>
      <c r="AN41">
        <v>0</v>
      </c>
      <c r="AO41">
        <v>0</v>
      </c>
      <c r="AP41" s="12" t="b">
        <f t="shared" si="35"/>
        <v>1</v>
      </c>
      <c r="AQ41" s="12" t="b">
        <f t="shared" si="36"/>
        <v>0</v>
      </c>
      <c r="AR41" s="12" t="b">
        <f t="shared" si="37"/>
        <v>0</v>
      </c>
      <c r="AS41" s="15" t="b">
        <f t="shared" si="15"/>
        <v>1</v>
      </c>
      <c r="AT41" s="16" t="b">
        <f t="shared" si="16"/>
        <v>0</v>
      </c>
      <c r="AU41" s="16" t="b">
        <f t="shared" si="17"/>
        <v>0</v>
      </c>
      <c r="AV41" s="21" t="b">
        <v>0</v>
      </c>
      <c r="AW41" s="12" t="b">
        <v>0</v>
      </c>
      <c r="AX41" s="12" t="b">
        <v>0</v>
      </c>
      <c r="AY41" s="15" t="b">
        <f t="shared" si="18"/>
        <v>0</v>
      </c>
      <c r="AZ41" s="16" t="b">
        <f t="shared" si="19"/>
        <v>0</v>
      </c>
      <c r="BA41" s="16" t="b">
        <f t="shared" si="20"/>
        <v>0</v>
      </c>
      <c r="BB41" s="21" t="b">
        <v>1</v>
      </c>
      <c r="BC41" s="12" t="b">
        <v>1</v>
      </c>
      <c r="BD41" s="12" t="b">
        <v>0</v>
      </c>
      <c r="BE41" s="15" t="b">
        <f t="shared" si="21"/>
        <v>1</v>
      </c>
      <c r="BF41" s="16" t="b">
        <f t="shared" si="22"/>
        <v>1</v>
      </c>
      <c r="BG41" s="16" t="b">
        <f t="shared" si="23"/>
        <v>0</v>
      </c>
      <c r="BH41" s="21" t="b">
        <v>0</v>
      </c>
      <c r="BI41" s="12" t="b">
        <v>0</v>
      </c>
      <c r="BJ41" s="12" t="b">
        <v>0</v>
      </c>
      <c r="BK41" s="15" t="b">
        <f t="shared" si="24"/>
        <v>0</v>
      </c>
      <c r="BL41" s="16" t="b">
        <f t="shared" si="25"/>
        <v>0</v>
      </c>
      <c r="BM41" s="16" t="b">
        <f t="shared" si="26"/>
        <v>0</v>
      </c>
    </row>
    <row r="42" spans="1:65" s="4" customFormat="1" x14ac:dyDescent="0.2">
      <c r="A42" s="3" t="s">
        <v>13</v>
      </c>
      <c r="B42" s="4" t="b">
        <f t="shared" si="30"/>
        <v>1</v>
      </c>
      <c r="C42" s="4" t="b">
        <f t="shared" si="31"/>
        <v>1</v>
      </c>
      <c r="D42" s="4" t="b">
        <f t="shared" si="38"/>
        <v>1</v>
      </c>
      <c r="E42" s="4">
        <v>4</v>
      </c>
      <c r="F42" s="4" t="b">
        <v>1</v>
      </c>
      <c r="G42" s="4" t="b">
        <v>1</v>
      </c>
      <c r="H42" s="4" t="b">
        <v>0</v>
      </c>
      <c r="M42" s="4" t="s">
        <v>20</v>
      </c>
      <c r="N42" s="4" t="s">
        <v>20</v>
      </c>
      <c r="O42" s="4" t="s">
        <v>20</v>
      </c>
      <c r="P42" s="4" t="s">
        <v>20</v>
      </c>
      <c r="U42" s="10">
        <v>1</v>
      </c>
      <c r="V42" s="4">
        <v>1</v>
      </c>
      <c r="W42" s="4">
        <v>1</v>
      </c>
      <c r="X42" s="13" t="b">
        <f t="shared" si="27"/>
        <v>1</v>
      </c>
      <c r="Y42" s="13" t="b">
        <f t="shared" si="28"/>
        <v>1</v>
      </c>
      <c r="Z42" s="13" t="b">
        <f t="shared" si="29"/>
        <v>1</v>
      </c>
      <c r="AA42" s="17" t="b">
        <f t="shared" si="7"/>
        <v>1</v>
      </c>
      <c r="AB42" s="18" t="b">
        <f t="shared" si="8"/>
        <v>1</v>
      </c>
      <c r="AC42" s="18" t="b">
        <f t="shared" si="9"/>
        <v>0</v>
      </c>
      <c r="AD42" s="10">
        <v>1</v>
      </c>
      <c r="AE42" s="4">
        <v>0</v>
      </c>
      <c r="AF42" s="4">
        <v>0</v>
      </c>
      <c r="AG42" s="13" t="b">
        <f t="shared" si="32"/>
        <v>1</v>
      </c>
      <c r="AH42" s="13" t="b">
        <f t="shared" si="33"/>
        <v>0</v>
      </c>
      <c r="AI42" s="13" t="b">
        <f t="shared" si="34"/>
        <v>0</v>
      </c>
      <c r="AJ42" s="17" t="b">
        <f t="shared" si="11"/>
        <v>1</v>
      </c>
      <c r="AK42" s="18" t="b">
        <f t="shared" si="12"/>
        <v>0</v>
      </c>
      <c r="AL42" s="18" t="b">
        <f t="shared" si="13"/>
        <v>0</v>
      </c>
      <c r="AM42" s="10">
        <v>4</v>
      </c>
      <c r="AN42" s="4">
        <v>0</v>
      </c>
      <c r="AO42" s="4">
        <v>0</v>
      </c>
      <c r="AP42" s="13" t="b">
        <f t="shared" si="35"/>
        <v>1</v>
      </c>
      <c r="AQ42" s="13" t="b">
        <f t="shared" si="36"/>
        <v>0</v>
      </c>
      <c r="AR42" s="13" t="b">
        <f t="shared" si="37"/>
        <v>0</v>
      </c>
      <c r="AS42" s="17" t="b">
        <f t="shared" si="15"/>
        <v>1</v>
      </c>
      <c r="AT42" s="18" t="b">
        <f t="shared" si="16"/>
        <v>0</v>
      </c>
      <c r="AU42" s="18" t="b">
        <f t="shared" si="17"/>
        <v>0</v>
      </c>
      <c r="AV42" s="23" t="b">
        <v>0</v>
      </c>
      <c r="AW42" s="13" t="b">
        <v>0</v>
      </c>
      <c r="AX42" s="13" t="b">
        <v>0</v>
      </c>
      <c r="AY42" s="17" t="b">
        <f t="shared" si="18"/>
        <v>0</v>
      </c>
      <c r="AZ42" s="18" t="b">
        <f t="shared" si="19"/>
        <v>0</v>
      </c>
      <c r="BA42" s="18" t="b">
        <f t="shared" si="20"/>
        <v>0</v>
      </c>
      <c r="BB42" s="23" t="b">
        <v>1</v>
      </c>
      <c r="BC42" s="13" t="b">
        <v>1</v>
      </c>
      <c r="BD42" s="13" t="b">
        <v>0</v>
      </c>
      <c r="BE42" s="17" t="b">
        <f t="shared" si="21"/>
        <v>1</v>
      </c>
      <c r="BF42" s="18" t="b">
        <f t="shared" si="22"/>
        <v>1</v>
      </c>
      <c r="BG42" s="18" t="b">
        <f t="shared" si="23"/>
        <v>0</v>
      </c>
      <c r="BH42" s="23" t="b">
        <v>0</v>
      </c>
      <c r="BI42" s="13" t="b">
        <v>0</v>
      </c>
      <c r="BJ42" s="13" t="b">
        <v>0</v>
      </c>
      <c r="BK42" s="17" t="b">
        <f t="shared" si="24"/>
        <v>0</v>
      </c>
      <c r="BL42" s="18" t="b">
        <f t="shared" si="25"/>
        <v>0</v>
      </c>
      <c r="BM42" s="18" t="b">
        <f t="shared" si="26"/>
        <v>0</v>
      </c>
    </row>
    <row r="43" spans="1:65" s="7" customFormat="1" x14ac:dyDescent="0.2">
      <c r="A43" s="6" t="s">
        <v>14</v>
      </c>
      <c r="B43" s="7" t="b">
        <f t="shared" si="30"/>
        <v>0</v>
      </c>
      <c r="C43" s="7" t="b">
        <f t="shared" si="31"/>
        <v>0</v>
      </c>
      <c r="D43" s="7" t="b">
        <f t="shared" si="38"/>
        <v>0</v>
      </c>
      <c r="E43" s="7">
        <v>0</v>
      </c>
      <c r="F43" s="7" t="b">
        <v>1</v>
      </c>
      <c r="G43" s="7" t="b">
        <v>1</v>
      </c>
      <c r="H43" s="7" t="b">
        <v>1</v>
      </c>
      <c r="I43" s="7">
        <v>0.59786810024581005</v>
      </c>
      <c r="J43" s="7">
        <v>0.98884061154658898</v>
      </c>
      <c r="K43" s="7">
        <v>0.71386112010327996</v>
      </c>
      <c r="L43" s="7">
        <v>0.56509267630653204</v>
      </c>
      <c r="M43" s="7">
        <v>0.642615061483368</v>
      </c>
      <c r="N43" s="7">
        <v>0.98889390861718895</v>
      </c>
      <c r="O43" s="7">
        <v>0.74462048368979505</v>
      </c>
      <c r="P43" s="7">
        <v>0.61029081819443798</v>
      </c>
      <c r="Q43" s="7">
        <v>0.359974021765193</v>
      </c>
      <c r="R43" s="7">
        <v>0.86764976958525297</v>
      </c>
      <c r="S43" s="7">
        <v>0.50208856408746505</v>
      </c>
      <c r="T43" s="7">
        <v>0.32451356886840699</v>
      </c>
      <c r="U43" s="11">
        <v>1</v>
      </c>
      <c r="V43" s="7">
        <v>0</v>
      </c>
      <c r="W43" s="7">
        <v>0</v>
      </c>
      <c r="X43" s="14" t="b">
        <f t="shared" si="27"/>
        <v>1</v>
      </c>
      <c r="Y43" s="14" t="b">
        <f t="shared" si="28"/>
        <v>0</v>
      </c>
      <c r="Z43" s="14" t="b">
        <f t="shared" si="29"/>
        <v>0</v>
      </c>
      <c r="AA43" s="19" t="b">
        <f t="shared" si="7"/>
        <v>1</v>
      </c>
      <c r="AB43" s="20" t="b">
        <f t="shared" si="8"/>
        <v>0</v>
      </c>
      <c r="AC43" s="20" t="b">
        <f t="shared" si="9"/>
        <v>0</v>
      </c>
      <c r="AD43" s="11">
        <v>11</v>
      </c>
      <c r="AE43" s="7">
        <v>0</v>
      </c>
      <c r="AF43" s="7">
        <v>0</v>
      </c>
      <c r="AG43" s="14" t="b">
        <f t="shared" si="32"/>
        <v>1</v>
      </c>
      <c r="AH43" s="14" t="b">
        <f t="shared" si="33"/>
        <v>0</v>
      </c>
      <c r="AI43" s="14" t="b">
        <f t="shared" si="34"/>
        <v>0</v>
      </c>
      <c r="AJ43" s="19" t="b">
        <f t="shared" si="11"/>
        <v>1</v>
      </c>
      <c r="AK43" s="20" t="b">
        <f t="shared" si="12"/>
        <v>0</v>
      </c>
      <c r="AL43" s="20" t="b">
        <f t="shared" si="13"/>
        <v>0</v>
      </c>
      <c r="AM43" s="11">
        <v>16</v>
      </c>
      <c r="AN43" s="7">
        <v>0</v>
      </c>
      <c r="AO43" s="7">
        <v>0</v>
      </c>
      <c r="AP43" s="14" t="b">
        <f t="shared" si="35"/>
        <v>1</v>
      </c>
      <c r="AQ43" s="14" t="b">
        <f t="shared" si="36"/>
        <v>0</v>
      </c>
      <c r="AR43" s="14" t="b">
        <f t="shared" si="37"/>
        <v>0</v>
      </c>
      <c r="AS43" s="19" t="b">
        <f t="shared" si="15"/>
        <v>1</v>
      </c>
      <c r="AT43" s="20" t="b">
        <f t="shared" si="16"/>
        <v>0</v>
      </c>
      <c r="AU43" s="20" t="b">
        <f t="shared" si="17"/>
        <v>0</v>
      </c>
      <c r="AV43" s="24" t="b">
        <v>1</v>
      </c>
      <c r="AW43" s="14" t="b">
        <v>1</v>
      </c>
      <c r="AX43" s="14" t="b">
        <v>1</v>
      </c>
      <c r="AY43" s="19" t="b">
        <f t="shared" si="18"/>
        <v>1</v>
      </c>
      <c r="AZ43" s="20" t="b">
        <f t="shared" si="19"/>
        <v>1</v>
      </c>
      <c r="BA43" s="20" t="b">
        <f t="shared" si="20"/>
        <v>1</v>
      </c>
      <c r="BB43" s="24" t="b">
        <v>1</v>
      </c>
      <c r="BC43" s="14" t="b">
        <v>1</v>
      </c>
      <c r="BD43" s="14" t="b">
        <v>1</v>
      </c>
      <c r="BE43" s="19" t="b">
        <f t="shared" si="21"/>
        <v>1</v>
      </c>
      <c r="BF43" s="20" t="b">
        <f t="shared" si="22"/>
        <v>1</v>
      </c>
      <c r="BG43" s="20" t="b">
        <f t="shared" si="23"/>
        <v>1</v>
      </c>
      <c r="BH43" s="24" t="b">
        <v>1</v>
      </c>
      <c r="BI43" s="14" t="b">
        <v>1</v>
      </c>
      <c r="BJ43" s="14" t="b">
        <v>1</v>
      </c>
      <c r="BK43" s="19" t="b">
        <f t="shared" si="24"/>
        <v>1</v>
      </c>
      <c r="BL43" s="20" t="b">
        <f t="shared" si="25"/>
        <v>1</v>
      </c>
      <c r="BM43" s="20" t="b">
        <f t="shared" si="26"/>
        <v>1</v>
      </c>
    </row>
    <row r="44" spans="1:65" x14ac:dyDescent="0.2">
      <c r="A44" s="2" t="s">
        <v>15</v>
      </c>
      <c r="B44" t="b">
        <f t="shared" si="30"/>
        <v>0</v>
      </c>
      <c r="C44" t="b">
        <f t="shared" si="31"/>
        <v>0</v>
      </c>
      <c r="D44" t="b">
        <f t="shared" si="38"/>
        <v>1</v>
      </c>
      <c r="E44">
        <v>0</v>
      </c>
      <c r="F44" t="b">
        <v>1</v>
      </c>
      <c r="G44" t="b">
        <v>1</v>
      </c>
      <c r="H44" t="b">
        <v>1</v>
      </c>
      <c r="I44">
        <v>0.66675737738762897</v>
      </c>
      <c r="J44">
        <v>0.94831168831168799</v>
      </c>
      <c r="K44">
        <v>0.78882443497989696</v>
      </c>
      <c r="L44">
        <v>0.61497354497354495</v>
      </c>
      <c r="M44">
        <v>0.63636363636363602</v>
      </c>
      <c r="N44">
        <v>0.84615384615384603</v>
      </c>
      <c r="O44">
        <v>0.77375730994152003</v>
      </c>
      <c r="P44">
        <v>0.63636363636363602</v>
      </c>
      <c r="U44" s="9">
        <v>2</v>
      </c>
      <c r="V44">
        <v>0</v>
      </c>
      <c r="W44">
        <v>0</v>
      </c>
      <c r="X44" s="12" t="b">
        <f t="shared" si="27"/>
        <v>1</v>
      </c>
      <c r="Y44" s="12" t="b">
        <f t="shared" si="28"/>
        <v>0</v>
      </c>
      <c r="Z44" s="12" t="b">
        <f t="shared" si="29"/>
        <v>0</v>
      </c>
      <c r="AA44" s="15" t="b">
        <f t="shared" si="7"/>
        <v>1</v>
      </c>
      <c r="AB44" s="16" t="b">
        <f t="shared" si="8"/>
        <v>0</v>
      </c>
      <c r="AC44" s="16" t="b">
        <f t="shared" si="9"/>
        <v>0</v>
      </c>
      <c r="AD44" s="9">
        <v>1</v>
      </c>
      <c r="AE44">
        <v>0</v>
      </c>
      <c r="AF44">
        <v>0</v>
      </c>
      <c r="AG44" s="12" t="b">
        <f t="shared" si="32"/>
        <v>1</v>
      </c>
      <c r="AH44" s="12" t="b">
        <f t="shared" si="33"/>
        <v>0</v>
      </c>
      <c r="AI44" s="12" t="b">
        <f t="shared" si="34"/>
        <v>0</v>
      </c>
      <c r="AJ44" s="15" t="b">
        <f t="shared" si="11"/>
        <v>1</v>
      </c>
      <c r="AK44" s="16" t="b">
        <f t="shared" si="12"/>
        <v>0</v>
      </c>
      <c r="AL44" s="16" t="b">
        <f t="shared" si="13"/>
        <v>0</v>
      </c>
      <c r="AM44" s="9">
        <v>4</v>
      </c>
      <c r="AN44">
        <v>0</v>
      </c>
      <c r="AO44">
        <v>0</v>
      </c>
      <c r="AP44" s="12" t="b">
        <f t="shared" si="35"/>
        <v>1</v>
      </c>
      <c r="AQ44" s="12" t="b">
        <f t="shared" si="36"/>
        <v>0</v>
      </c>
      <c r="AR44" s="12" t="b">
        <f t="shared" si="37"/>
        <v>0</v>
      </c>
      <c r="AS44" s="15" t="b">
        <f t="shared" si="15"/>
        <v>1</v>
      </c>
      <c r="AT44" s="16" t="b">
        <f t="shared" si="16"/>
        <v>0</v>
      </c>
      <c r="AU44" s="16" t="b">
        <f t="shared" si="17"/>
        <v>0</v>
      </c>
      <c r="AV44" s="21" t="b">
        <v>1</v>
      </c>
      <c r="AW44" s="12" t="b">
        <v>1</v>
      </c>
      <c r="AX44" s="12" t="b">
        <v>1</v>
      </c>
      <c r="AY44" s="15" t="b">
        <f t="shared" si="18"/>
        <v>1</v>
      </c>
      <c r="AZ44" s="16" t="b">
        <f t="shared" si="19"/>
        <v>1</v>
      </c>
      <c r="BA44" s="16" t="b">
        <f t="shared" si="20"/>
        <v>1</v>
      </c>
      <c r="BB44" s="21" t="b">
        <v>1</v>
      </c>
      <c r="BC44" s="12" t="b">
        <v>1</v>
      </c>
      <c r="BD44" s="12" t="b">
        <v>1</v>
      </c>
      <c r="BE44" s="15" t="b">
        <f t="shared" si="21"/>
        <v>1</v>
      </c>
      <c r="BF44" s="16" t="b">
        <f t="shared" si="22"/>
        <v>1</v>
      </c>
      <c r="BG44" s="16" t="b">
        <f t="shared" si="23"/>
        <v>1</v>
      </c>
      <c r="BH44" s="21" t="b">
        <v>0</v>
      </c>
      <c r="BI44" s="12" t="b">
        <v>0</v>
      </c>
      <c r="BJ44" s="12" t="b">
        <v>0</v>
      </c>
      <c r="BK44" s="15" t="b">
        <f t="shared" si="24"/>
        <v>0</v>
      </c>
      <c r="BL44" s="16" t="b">
        <f t="shared" si="25"/>
        <v>0</v>
      </c>
      <c r="BM44" s="16" t="b">
        <f t="shared" si="26"/>
        <v>0</v>
      </c>
    </row>
    <row r="45" spans="1:65" s="4" customFormat="1" x14ac:dyDescent="0.2">
      <c r="A45" s="3" t="s">
        <v>15</v>
      </c>
      <c r="B45" s="4" t="b">
        <f t="shared" si="30"/>
        <v>0</v>
      </c>
      <c r="C45" s="4" t="b">
        <f t="shared" si="31"/>
        <v>0</v>
      </c>
      <c r="D45" s="4" t="b">
        <f t="shared" si="38"/>
        <v>1</v>
      </c>
      <c r="E45" s="4">
        <v>1</v>
      </c>
      <c r="F45" s="4" t="b">
        <v>1</v>
      </c>
      <c r="G45" s="4" t="b">
        <v>0</v>
      </c>
      <c r="H45" s="4" t="b">
        <v>0</v>
      </c>
      <c r="I45" s="4">
        <v>0.60175255778703995</v>
      </c>
      <c r="J45" s="4">
        <v>0.92674173117522796</v>
      </c>
      <c r="K45" s="4">
        <v>0.732483594675712</v>
      </c>
      <c r="L45" s="4">
        <v>0.54298029556650196</v>
      </c>
      <c r="M45" s="4">
        <v>0.55476263071199705</v>
      </c>
      <c r="N45" s="4">
        <v>0.89177271150208703</v>
      </c>
      <c r="O45" s="4">
        <v>0.69167988110940104</v>
      </c>
      <c r="P45" s="4">
        <v>0.53716887894103005</v>
      </c>
      <c r="U45" s="10">
        <v>2</v>
      </c>
      <c r="V45" s="4">
        <v>0</v>
      </c>
      <c r="W45" s="4">
        <v>0</v>
      </c>
      <c r="X45" s="13" t="b">
        <f t="shared" si="27"/>
        <v>1</v>
      </c>
      <c r="Y45" s="13" t="b">
        <f t="shared" si="28"/>
        <v>0</v>
      </c>
      <c r="Z45" s="13" t="b">
        <f t="shared" si="29"/>
        <v>0</v>
      </c>
      <c r="AA45" s="17" t="b">
        <f t="shared" si="7"/>
        <v>1</v>
      </c>
      <c r="AB45" s="18" t="b">
        <f t="shared" si="8"/>
        <v>0</v>
      </c>
      <c r="AC45" s="18" t="b">
        <f t="shared" si="9"/>
        <v>0</v>
      </c>
      <c r="AD45" s="10">
        <v>1</v>
      </c>
      <c r="AE45" s="4">
        <v>0</v>
      </c>
      <c r="AF45" s="4">
        <v>0</v>
      </c>
      <c r="AG45" s="13" t="b">
        <f t="shared" si="32"/>
        <v>1</v>
      </c>
      <c r="AH45" s="13" t="b">
        <f t="shared" si="33"/>
        <v>0</v>
      </c>
      <c r="AI45" s="13" t="b">
        <f t="shared" si="34"/>
        <v>0</v>
      </c>
      <c r="AJ45" s="17" t="b">
        <f t="shared" si="11"/>
        <v>1</v>
      </c>
      <c r="AK45" s="18" t="b">
        <f t="shared" si="12"/>
        <v>0</v>
      </c>
      <c r="AL45" s="18" t="b">
        <f t="shared" si="13"/>
        <v>0</v>
      </c>
      <c r="AM45" s="10">
        <v>4</v>
      </c>
      <c r="AN45" s="4">
        <v>0</v>
      </c>
      <c r="AO45" s="4">
        <v>0</v>
      </c>
      <c r="AP45" s="13" t="b">
        <f t="shared" si="35"/>
        <v>1</v>
      </c>
      <c r="AQ45" s="13" t="b">
        <f t="shared" si="36"/>
        <v>0</v>
      </c>
      <c r="AR45" s="13" t="b">
        <f t="shared" si="37"/>
        <v>0</v>
      </c>
      <c r="AS45" s="17" t="b">
        <f t="shared" si="15"/>
        <v>1</v>
      </c>
      <c r="AT45" s="18" t="b">
        <f t="shared" si="16"/>
        <v>0</v>
      </c>
      <c r="AU45" s="18" t="b">
        <f t="shared" si="17"/>
        <v>0</v>
      </c>
      <c r="AV45" s="23" t="b">
        <v>1</v>
      </c>
      <c r="AW45" s="13" t="b">
        <v>1</v>
      </c>
      <c r="AX45" s="13" t="b">
        <v>1</v>
      </c>
      <c r="AY45" s="17" t="b">
        <f t="shared" si="18"/>
        <v>1</v>
      </c>
      <c r="AZ45" s="18" t="b">
        <f t="shared" si="19"/>
        <v>0</v>
      </c>
      <c r="BA45" s="18" t="b">
        <f t="shared" si="20"/>
        <v>0</v>
      </c>
      <c r="BB45" s="23" t="b">
        <v>1</v>
      </c>
      <c r="BC45" s="13" t="b">
        <v>1</v>
      </c>
      <c r="BD45" s="13" t="b">
        <v>1</v>
      </c>
      <c r="BE45" s="17" t="b">
        <f t="shared" si="21"/>
        <v>1</v>
      </c>
      <c r="BF45" s="18" t="b">
        <f t="shared" si="22"/>
        <v>0</v>
      </c>
      <c r="BG45" s="18" t="b">
        <f t="shared" si="23"/>
        <v>0</v>
      </c>
      <c r="BH45" s="23" t="b">
        <v>0</v>
      </c>
      <c r="BI45" s="13" t="b">
        <v>0</v>
      </c>
      <c r="BJ45" s="13" t="b">
        <v>0</v>
      </c>
      <c r="BK45" s="17" t="b">
        <f t="shared" si="24"/>
        <v>0</v>
      </c>
      <c r="BL45" s="18" t="b">
        <f t="shared" si="25"/>
        <v>0</v>
      </c>
      <c r="BM45" s="18" t="b">
        <f t="shared" si="26"/>
        <v>0</v>
      </c>
    </row>
    <row r="46" spans="1:65" x14ac:dyDescent="0.2">
      <c r="A46" s="2" t="s">
        <v>16</v>
      </c>
      <c r="B46" t="b">
        <f t="shared" si="30"/>
        <v>0</v>
      </c>
      <c r="C46" t="b">
        <f t="shared" si="31"/>
        <v>0</v>
      </c>
      <c r="D46" t="b">
        <f t="shared" si="38"/>
        <v>1</v>
      </c>
      <c r="E46">
        <v>0</v>
      </c>
      <c r="F46" t="b">
        <v>1</v>
      </c>
      <c r="G46" t="b">
        <v>0</v>
      </c>
      <c r="H46" t="b">
        <v>0</v>
      </c>
      <c r="I46" t="s">
        <v>20</v>
      </c>
      <c r="J46" t="s">
        <v>20</v>
      </c>
      <c r="K46" t="s">
        <v>20</v>
      </c>
      <c r="L46" t="s">
        <v>20</v>
      </c>
      <c r="M46">
        <v>0.85509254783198596</v>
      </c>
      <c r="N46">
        <v>0.98029978895203496</v>
      </c>
      <c r="O46">
        <v>0.91500074436227496</v>
      </c>
      <c r="P46">
        <v>0.79945269330564595</v>
      </c>
      <c r="U46" s="9">
        <v>0</v>
      </c>
      <c r="V46">
        <v>0</v>
      </c>
      <c r="W46">
        <v>0</v>
      </c>
      <c r="X46" s="12" t="b">
        <f t="shared" si="27"/>
        <v>0</v>
      </c>
      <c r="Y46" s="12" t="b">
        <f t="shared" si="28"/>
        <v>0</v>
      </c>
      <c r="Z46" s="12" t="b">
        <f t="shared" si="29"/>
        <v>0</v>
      </c>
      <c r="AA46" s="15" t="b">
        <f t="shared" si="7"/>
        <v>0</v>
      </c>
      <c r="AB46" s="16" t="b">
        <f t="shared" si="8"/>
        <v>0</v>
      </c>
      <c r="AC46" s="16" t="b">
        <f t="shared" si="9"/>
        <v>0</v>
      </c>
      <c r="AD46" s="9">
        <v>5</v>
      </c>
      <c r="AE46">
        <v>0</v>
      </c>
      <c r="AF46">
        <v>0</v>
      </c>
      <c r="AG46" s="12" t="b">
        <f t="shared" si="32"/>
        <v>1</v>
      </c>
      <c r="AH46" s="12" t="b">
        <f t="shared" si="33"/>
        <v>0</v>
      </c>
      <c r="AI46" s="12" t="b">
        <f t="shared" si="34"/>
        <v>0</v>
      </c>
      <c r="AJ46" s="15" t="b">
        <f t="shared" si="11"/>
        <v>1</v>
      </c>
      <c r="AK46" s="16" t="b">
        <f t="shared" si="12"/>
        <v>0</v>
      </c>
      <c r="AL46" s="16" t="b">
        <f t="shared" si="13"/>
        <v>0</v>
      </c>
      <c r="AM46" s="9">
        <v>1</v>
      </c>
      <c r="AN46">
        <v>0</v>
      </c>
      <c r="AO46">
        <v>0</v>
      </c>
      <c r="AP46" s="12" t="b">
        <f t="shared" si="35"/>
        <v>1</v>
      </c>
      <c r="AQ46" s="12" t="b">
        <f t="shared" si="36"/>
        <v>0</v>
      </c>
      <c r="AR46" s="12" t="b">
        <f t="shared" si="37"/>
        <v>0</v>
      </c>
      <c r="AS46" s="15" t="b">
        <f t="shared" si="15"/>
        <v>1</v>
      </c>
      <c r="AT46" s="16" t="b">
        <f t="shared" si="16"/>
        <v>0</v>
      </c>
      <c r="AU46" s="16" t="b">
        <f t="shared" si="17"/>
        <v>0</v>
      </c>
      <c r="AV46" s="21" t="b">
        <v>1</v>
      </c>
      <c r="AW46" s="12" t="b">
        <v>1</v>
      </c>
      <c r="AX46" s="12" t="b">
        <v>1</v>
      </c>
      <c r="AY46" s="15" t="b">
        <f t="shared" si="18"/>
        <v>1</v>
      </c>
      <c r="AZ46" s="16" t="b">
        <f t="shared" si="19"/>
        <v>0</v>
      </c>
      <c r="BA46" s="16" t="b">
        <f t="shared" si="20"/>
        <v>0</v>
      </c>
      <c r="BB46" s="21" t="b">
        <v>0</v>
      </c>
      <c r="BC46" s="12" t="b">
        <v>0</v>
      </c>
      <c r="BD46" s="12" t="b">
        <v>0</v>
      </c>
      <c r="BE46" s="15" t="b">
        <f t="shared" si="21"/>
        <v>0</v>
      </c>
      <c r="BF46" s="16" t="b">
        <f t="shared" si="22"/>
        <v>0</v>
      </c>
      <c r="BG46" s="16" t="b">
        <f t="shared" si="23"/>
        <v>0</v>
      </c>
      <c r="BH46" s="21" t="b">
        <v>0</v>
      </c>
      <c r="BI46" s="12" t="b">
        <v>0</v>
      </c>
      <c r="BJ46" s="12" t="b">
        <v>0</v>
      </c>
      <c r="BK46" s="15" t="b">
        <f t="shared" si="24"/>
        <v>0</v>
      </c>
      <c r="BL46" s="16" t="b">
        <f t="shared" si="25"/>
        <v>0</v>
      </c>
      <c r="BM46" s="16" t="b">
        <f t="shared" si="26"/>
        <v>0</v>
      </c>
    </row>
    <row r="47" spans="1:65" x14ac:dyDescent="0.2">
      <c r="A47" s="2" t="s">
        <v>16</v>
      </c>
      <c r="B47" t="b">
        <f t="shared" si="30"/>
        <v>0</v>
      </c>
      <c r="C47" t="b">
        <f t="shared" si="31"/>
        <v>0</v>
      </c>
      <c r="D47" t="b">
        <f t="shared" si="38"/>
        <v>1</v>
      </c>
      <c r="E47">
        <v>1</v>
      </c>
      <c r="F47" t="b">
        <v>1</v>
      </c>
      <c r="G47" t="b">
        <v>0</v>
      </c>
      <c r="H47" t="b">
        <v>0</v>
      </c>
      <c r="I47" t="s">
        <v>20</v>
      </c>
      <c r="J47" t="s">
        <v>20</v>
      </c>
      <c r="K47" t="s">
        <v>20</v>
      </c>
      <c r="L47" t="s">
        <v>20</v>
      </c>
      <c r="M47">
        <v>0.77132775109288099</v>
      </c>
      <c r="N47">
        <v>0.97278098444765104</v>
      </c>
      <c r="O47">
        <v>0.86041620603755598</v>
      </c>
      <c r="P47">
        <v>0.740924580223709</v>
      </c>
      <c r="U47" s="9">
        <v>0</v>
      </c>
      <c r="V47">
        <v>0</v>
      </c>
      <c r="W47">
        <v>0</v>
      </c>
      <c r="X47" s="12" t="b">
        <f t="shared" si="27"/>
        <v>0</v>
      </c>
      <c r="Y47" s="12" t="b">
        <f t="shared" si="28"/>
        <v>0</v>
      </c>
      <c r="Z47" s="12" t="b">
        <f t="shared" si="29"/>
        <v>0</v>
      </c>
      <c r="AA47" s="15" t="b">
        <f t="shared" si="7"/>
        <v>0</v>
      </c>
      <c r="AB47" s="16" t="b">
        <f t="shared" si="8"/>
        <v>0</v>
      </c>
      <c r="AC47" s="16" t="b">
        <f t="shared" si="9"/>
        <v>0</v>
      </c>
      <c r="AD47" s="9">
        <v>5</v>
      </c>
      <c r="AE47">
        <v>0</v>
      </c>
      <c r="AF47">
        <v>0</v>
      </c>
      <c r="AG47" s="12" t="b">
        <f t="shared" si="32"/>
        <v>1</v>
      </c>
      <c r="AH47" s="12" t="b">
        <f t="shared" si="33"/>
        <v>0</v>
      </c>
      <c r="AI47" s="12" t="b">
        <f t="shared" si="34"/>
        <v>0</v>
      </c>
      <c r="AJ47" s="15" t="b">
        <f t="shared" si="11"/>
        <v>1</v>
      </c>
      <c r="AK47" s="16" t="b">
        <f t="shared" si="12"/>
        <v>0</v>
      </c>
      <c r="AL47" s="16" t="b">
        <f t="shared" si="13"/>
        <v>0</v>
      </c>
      <c r="AM47" s="9">
        <v>1</v>
      </c>
      <c r="AN47">
        <v>0</v>
      </c>
      <c r="AO47">
        <v>0</v>
      </c>
      <c r="AP47" s="12" t="b">
        <f t="shared" si="35"/>
        <v>1</v>
      </c>
      <c r="AQ47" s="12" t="b">
        <f t="shared" si="36"/>
        <v>0</v>
      </c>
      <c r="AR47" s="12" t="b">
        <f t="shared" si="37"/>
        <v>0</v>
      </c>
      <c r="AS47" s="15" t="b">
        <f t="shared" si="15"/>
        <v>1</v>
      </c>
      <c r="AT47" s="16" t="b">
        <f t="shared" si="16"/>
        <v>0</v>
      </c>
      <c r="AU47" s="16" t="b">
        <f t="shared" si="17"/>
        <v>0</v>
      </c>
      <c r="AV47" s="21" t="b">
        <v>1</v>
      </c>
      <c r="AW47" s="12" t="b">
        <v>1</v>
      </c>
      <c r="AX47" s="12" t="b">
        <v>1</v>
      </c>
      <c r="AY47" s="15" t="b">
        <f t="shared" si="18"/>
        <v>1</v>
      </c>
      <c r="AZ47" s="16" t="b">
        <f t="shared" si="19"/>
        <v>0</v>
      </c>
      <c r="BA47" s="16" t="b">
        <f t="shared" si="20"/>
        <v>0</v>
      </c>
      <c r="BB47" s="21" t="b">
        <v>0</v>
      </c>
      <c r="BC47" s="12" t="b">
        <v>0</v>
      </c>
      <c r="BD47" s="12" t="b">
        <v>0</v>
      </c>
      <c r="BE47" s="15" t="b">
        <f t="shared" si="21"/>
        <v>0</v>
      </c>
      <c r="BF47" s="16" t="b">
        <f t="shared" si="22"/>
        <v>0</v>
      </c>
      <c r="BG47" s="16" t="b">
        <f t="shared" si="23"/>
        <v>0</v>
      </c>
      <c r="BH47" s="21" t="b">
        <v>0</v>
      </c>
      <c r="BI47" s="12" t="b">
        <v>0</v>
      </c>
      <c r="BJ47" s="12" t="b">
        <v>0</v>
      </c>
      <c r="BK47" s="15" t="b">
        <f t="shared" si="24"/>
        <v>0</v>
      </c>
      <c r="BL47" s="16" t="b">
        <f t="shared" si="25"/>
        <v>0</v>
      </c>
      <c r="BM47" s="16" t="b">
        <f t="shared" si="26"/>
        <v>0</v>
      </c>
    </row>
    <row r="48" spans="1:65" x14ac:dyDescent="0.2">
      <c r="A48" s="2" t="s">
        <v>16</v>
      </c>
      <c r="B48" t="b">
        <f t="shared" si="30"/>
        <v>0</v>
      </c>
      <c r="C48" t="b">
        <f t="shared" si="31"/>
        <v>0</v>
      </c>
      <c r="D48" t="b">
        <f t="shared" si="38"/>
        <v>1</v>
      </c>
      <c r="E48">
        <v>2</v>
      </c>
      <c r="F48" t="b">
        <v>1</v>
      </c>
      <c r="G48" t="b">
        <v>0</v>
      </c>
      <c r="H48" t="b">
        <v>0</v>
      </c>
      <c r="I48" t="s">
        <v>20</v>
      </c>
      <c r="J48" t="s">
        <v>20</v>
      </c>
      <c r="K48" t="s">
        <v>20</v>
      </c>
      <c r="L48" t="s">
        <v>20</v>
      </c>
      <c r="M48">
        <v>0.79358318594211996</v>
      </c>
      <c r="N48">
        <v>0.99431382793451695</v>
      </c>
      <c r="O48">
        <v>0.807083099618366</v>
      </c>
      <c r="P48">
        <v>0.77815221177290095</v>
      </c>
      <c r="U48" s="9">
        <v>0</v>
      </c>
      <c r="V48">
        <v>0</v>
      </c>
      <c r="W48">
        <v>0</v>
      </c>
      <c r="X48" s="12" t="b">
        <f t="shared" si="27"/>
        <v>0</v>
      </c>
      <c r="Y48" s="12" t="b">
        <f t="shared" si="28"/>
        <v>0</v>
      </c>
      <c r="Z48" s="12" t="b">
        <f t="shared" si="29"/>
        <v>0</v>
      </c>
      <c r="AA48" s="15" t="b">
        <f t="shared" si="7"/>
        <v>0</v>
      </c>
      <c r="AB48" s="16" t="b">
        <f t="shared" si="8"/>
        <v>0</v>
      </c>
      <c r="AC48" s="16" t="b">
        <f t="shared" si="9"/>
        <v>0</v>
      </c>
      <c r="AD48" s="9">
        <v>5</v>
      </c>
      <c r="AE48">
        <v>0</v>
      </c>
      <c r="AF48">
        <v>0</v>
      </c>
      <c r="AG48" s="12" t="b">
        <f t="shared" si="32"/>
        <v>1</v>
      </c>
      <c r="AH48" s="12" t="b">
        <f t="shared" si="33"/>
        <v>0</v>
      </c>
      <c r="AI48" s="12" t="b">
        <f t="shared" si="34"/>
        <v>0</v>
      </c>
      <c r="AJ48" s="15" t="b">
        <f t="shared" si="11"/>
        <v>1</v>
      </c>
      <c r="AK48" s="16" t="b">
        <f t="shared" si="12"/>
        <v>0</v>
      </c>
      <c r="AL48" s="16" t="b">
        <f t="shared" si="13"/>
        <v>0</v>
      </c>
      <c r="AM48" s="9">
        <v>1</v>
      </c>
      <c r="AN48">
        <v>0</v>
      </c>
      <c r="AO48">
        <v>0</v>
      </c>
      <c r="AP48" s="12" t="b">
        <f t="shared" si="35"/>
        <v>1</v>
      </c>
      <c r="AQ48" s="12" t="b">
        <f t="shared" si="36"/>
        <v>0</v>
      </c>
      <c r="AR48" s="12" t="b">
        <f t="shared" si="37"/>
        <v>0</v>
      </c>
      <c r="AS48" s="15" t="b">
        <f t="shared" si="15"/>
        <v>1</v>
      </c>
      <c r="AT48" s="16" t="b">
        <f t="shared" si="16"/>
        <v>0</v>
      </c>
      <c r="AU48" s="16" t="b">
        <f t="shared" si="17"/>
        <v>0</v>
      </c>
      <c r="AV48" s="21" t="b">
        <v>1</v>
      </c>
      <c r="AW48" s="12" t="b">
        <v>0</v>
      </c>
      <c r="AX48" s="12" t="b">
        <v>0</v>
      </c>
      <c r="AY48" s="15" t="b">
        <f t="shared" si="18"/>
        <v>1</v>
      </c>
      <c r="AZ48" s="16" t="b">
        <f t="shared" si="19"/>
        <v>0</v>
      </c>
      <c r="BA48" s="16" t="b">
        <f t="shared" si="20"/>
        <v>0</v>
      </c>
      <c r="BB48" s="21" t="b">
        <v>0</v>
      </c>
      <c r="BC48" s="12" t="b">
        <v>0</v>
      </c>
      <c r="BD48" s="12" t="b">
        <v>0</v>
      </c>
      <c r="BE48" s="15" t="b">
        <f t="shared" si="21"/>
        <v>0</v>
      </c>
      <c r="BF48" s="16" t="b">
        <f t="shared" si="22"/>
        <v>0</v>
      </c>
      <c r="BG48" s="16" t="b">
        <f t="shared" si="23"/>
        <v>0</v>
      </c>
      <c r="BH48" s="21" t="b">
        <v>0</v>
      </c>
      <c r="BI48" s="12" t="b">
        <v>0</v>
      </c>
      <c r="BJ48" s="12" t="b">
        <v>0</v>
      </c>
      <c r="BK48" s="15" t="b">
        <f t="shared" si="24"/>
        <v>0</v>
      </c>
      <c r="BL48" s="16" t="b">
        <f t="shared" si="25"/>
        <v>0</v>
      </c>
      <c r="BM48" s="16" t="b">
        <f t="shared" si="26"/>
        <v>0</v>
      </c>
    </row>
    <row r="49" spans="1:65" x14ac:dyDescent="0.2">
      <c r="A49" s="2" t="s">
        <v>16</v>
      </c>
      <c r="B49" t="b">
        <f t="shared" si="30"/>
        <v>0</v>
      </c>
      <c r="C49" t="b">
        <f t="shared" si="31"/>
        <v>0</v>
      </c>
      <c r="D49" t="b">
        <f t="shared" si="38"/>
        <v>1</v>
      </c>
      <c r="E49">
        <v>3</v>
      </c>
      <c r="F49" t="b">
        <v>1</v>
      </c>
      <c r="G49" t="b">
        <v>1</v>
      </c>
      <c r="H49" t="b">
        <v>1</v>
      </c>
      <c r="I49" t="s">
        <v>20</v>
      </c>
      <c r="J49" t="s">
        <v>20</v>
      </c>
      <c r="K49" t="s">
        <v>20</v>
      </c>
      <c r="L49" t="s">
        <v>20</v>
      </c>
      <c r="M49">
        <v>0.87475291862769899</v>
      </c>
      <c r="N49">
        <v>0.99579856536378197</v>
      </c>
      <c r="O49">
        <v>0.91029383584355295</v>
      </c>
      <c r="P49">
        <v>0.82191369984299201</v>
      </c>
      <c r="U49" s="9">
        <v>0</v>
      </c>
      <c r="V49">
        <v>0</v>
      </c>
      <c r="W49">
        <v>0</v>
      </c>
      <c r="X49" s="12" t="b">
        <f t="shared" si="27"/>
        <v>0</v>
      </c>
      <c r="Y49" s="12" t="b">
        <f t="shared" si="28"/>
        <v>0</v>
      </c>
      <c r="Z49" s="12" t="b">
        <f t="shared" si="29"/>
        <v>0</v>
      </c>
      <c r="AA49" s="15" t="b">
        <f t="shared" si="7"/>
        <v>0</v>
      </c>
      <c r="AB49" s="16" t="b">
        <f t="shared" si="8"/>
        <v>0</v>
      </c>
      <c r="AC49" s="16" t="b">
        <f t="shared" si="9"/>
        <v>0</v>
      </c>
      <c r="AD49" s="9">
        <v>5</v>
      </c>
      <c r="AE49">
        <v>0</v>
      </c>
      <c r="AF49">
        <v>0</v>
      </c>
      <c r="AG49" s="12" t="b">
        <f t="shared" si="32"/>
        <v>1</v>
      </c>
      <c r="AH49" s="12" t="b">
        <f t="shared" si="33"/>
        <v>0</v>
      </c>
      <c r="AI49" s="12" t="b">
        <f t="shared" si="34"/>
        <v>0</v>
      </c>
      <c r="AJ49" s="15" t="b">
        <f t="shared" si="11"/>
        <v>1</v>
      </c>
      <c r="AK49" s="16" t="b">
        <f t="shared" si="12"/>
        <v>0</v>
      </c>
      <c r="AL49" s="16" t="b">
        <f t="shared" si="13"/>
        <v>0</v>
      </c>
      <c r="AM49" s="9">
        <v>1</v>
      </c>
      <c r="AN49">
        <v>0</v>
      </c>
      <c r="AO49">
        <v>0</v>
      </c>
      <c r="AP49" s="12" t="b">
        <f t="shared" si="35"/>
        <v>1</v>
      </c>
      <c r="AQ49" s="12" t="b">
        <f t="shared" si="36"/>
        <v>0</v>
      </c>
      <c r="AR49" s="12" t="b">
        <f t="shared" si="37"/>
        <v>0</v>
      </c>
      <c r="AS49" s="15" t="b">
        <f t="shared" si="15"/>
        <v>1</v>
      </c>
      <c r="AT49" s="16" t="b">
        <f t="shared" si="16"/>
        <v>0</v>
      </c>
      <c r="AU49" s="16" t="b">
        <f t="shared" si="17"/>
        <v>0</v>
      </c>
      <c r="AV49" s="21" t="b">
        <v>1</v>
      </c>
      <c r="AW49" s="12" t="b">
        <v>1</v>
      </c>
      <c r="AX49" s="12" t="b">
        <v>1</v>
      </c>
      <c r="AY49" s="15" t="b">
        <f t="shared" si="18"/>
        <v>1</v>
      </c>
      <c r="AZ49" s="16" t="b">
        <f t="shared" si="19"/>
        <v>1</v>
      </c>
      <c r="BA49" s="16" t="b">
        <f t="shared" si="20"/>
        <v>1</v>
      </c>
      <c r="BB49" s="21" t="b">
        <v>0</v>
      </c>
      <c r="BC49" s="12" t="b">
        <v>0</v>
      </c>
      <c r="BD49" s="12" t="b">
        <v>0</v>
      </c>
      <c r="BE49" s="15" t="b">
        <f t="shared" si="21"/>
        <v>0</v>
      </c>
      <c r="BF49" s="16" t="b">
        <f t="shared" si="22"/>
        <v>0</v>
      </c>
      <c r="BG49" s="16" t="b">
        <f t="shared" si="23"/>
        <v>0</v>
      </c>
      <c r="BH49" s="21" t="b">
        <v>0</v>
      </c>
      <c r="BI49" s="12" t="b">
        <v>0</v>
      </c>
      <c r="BJ49" s="12" t="b">
        <v>0</v>
      </c>
      <c r="BK49" s="15" t="b">
        <f t="shared" si="24"/>
        <v>0</v>
      </c>
      <c r="BL49" s="16" t="b">
        <f t="shared" si="25"/>
        <v>0</v>
      </c>
      <c r="BM49" s="16" t="b">
        <f t="shared" si="26"/>
        <v>0</v>
      </c>
    </row>
    <row r="50" spans="1:65" x14ac:dyDescent="0.2">
      <c r="A50" s="2" t="s">
        <v>16</v>
      </c>
      <c r="B50" t="b">
        <f t="shared" si="30"/>
        <v>0</v>
      </c>
      <c r="C50" t="b">
        <f t="shared" si="31"/>
        <v>0</v>
      </c>
      <c r="D50" t="b">
        <f t="shared" si="38"/>
        <v>1</v>
      </c>
      <c r="E50">
        <v>4</v>
      </c>
      <c r="F50" t="b">
        <v>0</v>
      </c>
      <c r="G50" t="b">
        <v>0</v>
      </c>
      <c r="H50" t="b">
        <v>0</v>
      </c>
      <c r="I50">
        <v>0.61097587572755296</v>
      </c>
      <c r="J50">
        <v>0.95196664632906203</v>
      </c>
      <c r="K50">
        <v>0.64637186179467998</v>
      </c>
      <c r="L50">
        <v>0.60827740492170002</v>
      </c>
      <c r="M50">
        <v>0.56765174269900398</v>
      </c>
      <c r="N50">
        <v>0.95936941431158795</v>
      </c>
      <c r="O50">
        <v>0.61339836301342199</v>
      </c>
      <c r="P50">
        <v>0.55238549427863404</v>
      </c>
      <c r="U50" s="9">
        <v>0</v>
      </c>
      <c r="V50">
        <v>0</v>
      </c>
      <c r="W50">
        <v>0</v>
      </c>
      <c r="X50" s="12" t="b">
        <f t="shared" si="27"/>
        <v>0</v>
      </c>
      <c r="Y50" s="12" t="b">
        <f t="shared" si="28"/>
        <v>0</v>
      </c>
      <c r="Z50" s="12" t="b">
        <f t="shared" si="29"/>
        <v>0</v>
      </c>
      <c r="AA50" s="15" t="b">
        <f t="shared" si="7"/>
        <v>0</v>
      </c>
      <c r="AB50" s="16" t="b">
        <f t="shared" si="8"/>
        <v>0</v>
      </c>
      <c r="AC50" s="16" t="b">
        <f t="shared" si="9"/>
        <v>0</v>
      </c>
      <c r="AD50" s="9">
        <v>0</v>
      </c>
      <c r="AE50">
        <v>0</v>
      </c>
      <c r="AF50">
        <v>0</v>
      </c>
      <c r="AG50" s="12" t="b">
        <f t="shared" si="32"/>
        <v>0</v>
      </c>
      <c r="AH50" s="12" t="b">
        <f t="shared" si="33"/>
        <v>0</v>
      </c>
      <c r="AI50" s="12" t="b">
        <f t="shared" si="34"/>
        <v>0</v>
      </c>
      <c r="AJ50" s="15" t="b">
        <f t="shared" si="11"/>
        <v>0</v>
      </c>
      <c r="AK50" s="16" t="b">
        <f t="shared" si="12"/>
        <v>0</v>
      </c>
      <c r="AL50" s="16" t="b">
        <f t="shared" si="13"/>
        <v>0</v>
      </c>
      <c r="AM50" s="9">
        <v>0</v>
      </c>
      <c r="AN50">
        <v>0</v>
      </c>
      <c r="AO50">
        <v>0</v>
      </c>
      <c r="AP50" s="12" t="b">
        <f t="shared" si="35"/>
        <v>0</v>
      </c>
      <c r="AQ50" s="12" t="b">
        <f t="shared" si="36"/>
        <v>0</v>
      </c>
      <c r="AR50" s="12" t="b">
        <f t="shared" si="37"/>
        <v>0</v>
      </c>
      <c r="AS50" s="15" t="b">
        <f t="shared" si="15"/>
        <v>0</v>
      </c>
      <c r="AT50" s="16" t="b">
        <f t="shared" si="16"/>
        <v>0</v>
      </c>
      <c r="AU50" s="16" t="b">
        <f t="shared" si="17"/>
        <v>0</v>
      </c>
      <c r="AV50" s="21" t="b">
        <v>0</v>
      </c>
      <c r="AW50" s="12" t="b">
        <v>0</v>
      </c>
      <c r="AX50" s="12" t="b">
        <v>0</v>
      </c>
      <c r="AY50" s="15" t="b">
        <f t="shared" si="18"/>
        <v>0</v>
      </c>
      <c r="AZ50" s="16" t="b">
        <f t="shared" si="19"/>
        <v>0</v>
      </c>
      <c r="BA50" s="16" t="b">
        <f t="shared" si="20"/>
        <v>0</v>
      </c>
      <c r="BB50" s="21" t="b">
        <v>1</v>
      </c>
      <c r="BC50" s="12" t="b">
        <v>1</v>
      </c>
      <c r="BD50" s="12" t="b">
        <v>1</v>
      </c>
      <c r="BE50" s="15" t="b">
        <f t="shared" si="21"/>
        <v>0</v>
      </c>
      <c r="BF50" s="16" t="b">
        <f t="shared" si="22"/>
        <v>0</v>
      </c>
      <c r="BG50" s="16" t="b">
        <f t="shared" si="23"/>
        <v>0</v>
      </c>
      <c r="BH50" s="21" t="b">
        <v>0</v>
      </c>
      <c r="BI50" s="12" t="b">
        <v>0</v>
      </c>
      <c r="BJ50" s="12" t="b">
        <v>0</v>
      </c>
      <c r="BK50" s="15" t="b">
        <f t="shared" si="24"/>
        <v>0</v>
      </c>
      <c r="BL50" s="16" t="b">
        <f t="shared" si="25"/>
        <v>0</v>
      </c>
      <c r="BM50" s="16" t="b">
        <f t="shared" si="26"/>
        <v>0</v>
      </c>
    </row>
    <row r="51" spans="1:65" s="4" customFormat="1" x14ac:dyDescent="0.2">
      <c r="A51" s="3" t="s">
        <v>16</v>
      </c>
      <c r="B51" s="4" t="b">
        <f t="shared" si="30"/>
        <v>0</v>
      </c>
      <c r="C51" s="4" t="b">
        <f t="shared" si="31"/>
        <v>0</v>
      </c>
      <c r="D51" s="4" t="b">
        <f t="shared" si="38"/>
        <v>1</v>
      </c>
      <c r="E51" s="4">
        <v>5</v>
      </c>
      <c r="F51" s="4" t="b">
        <v>0</v>
      </c>
      <c r="G51" s="4" t="b">
        <v>0</v>
      </c>
      <c r="H51" s="4" t="b">
        <v>0</v>
      </c>
      <c r="I51" s="4" t="s">
        <v>20</v>
      </c>
      <c r="J51" s="4" t="s">
        <v>20</v>
      </c>
      <c r="K51" s="4" t="s">
        <v>20</v>
      </c>
      <c r="L51" s="4" t="s">
        <v>20</v>
      </c>
      <c r="M51" s="4">
        <v>0.647272727272727</v>
      </c>
      <c r="N51" s="4">
        <v>0.90717703349282197</v>
      </c>
      <c r="O51" s="4">
        <v>0.76731601731601695</v>
      </c>
      <c r="P51" s="4">
        <v>0.647272727272727</v>
      </c>
      <c r="U51" s="10">
        <v>0</v>
      </c>
      <c r="V51" s="4">
        <v>0</v>
      </c>
      <c r="W51" s="4">
        <v>0</v>
      </c>
      <c r="X51" s="13" t="b">
        <f t="shared" si="27"/>
        <v>0</v>
      </c>
      <c r="Y51" s="13" t="b">
        <f t="shared" si="28"/>
        <v>0</v>
      </c>
      <c r="Z51" s="13" t="b">
        <f t="shared" si="29"/>
        <v>0</v>
      </c>
      <c r="AA51" s="17" t="b">
        <f t="shared" si="7"/>
        <v>0</v>
      </c>
      <c r="AB51" s="18" t="b">
        <f t="shared" si="8"/>
        <v>0</v>
      </c>
      <c r="AC51" s="18" t="b">
        <f t="shared" si="9"/>
        <v>0</v>
      </c>
      <c r="AD51" s="10">
        <v>0</v>
      </c>
      <c r="AE51" s="4">
        <v>0</v>
      </c>
      <c r="AF51" s="4">
        <v>0</v>
      </c>
      <c r="AG51" s="13" t="b">
        <f t="shared" si="32"/>
        <v>0</v>
      </c>
      <c r="AH51" s="13" t="b">
        <f t="shared" si="33"/>
        <v>0</v>
      </c>
      <c r="AI51" s="13" t="b">
        <f t="shared" si="34"/>
        <v>0</v>
      </c>
      <c r="AJ51" s="17" t="b">
        <f t="shared" si="11"/>
        <v>0</v>
      </c>
      <c r="AK51" s="18" t="b">
        <f t="shared" si="12"/>
        <v>0</v>
      </c>
      <c r="AL51" s="18" t="b">
        <f t="shared" si="13"/>
        <v>0</v>
      </c>
      <c r="AM51" s="10">
        <v>0</v>
      </c>
      <c r="AN51" s="4">
        <v>0</v>
      </c>
      <c r="AO51" s="4">
        <v>0</v>
      </c>
      <c r="AP51" s="13" t="b">
        <f t="shared" si="35"/>
        <v>0</v>
      </c>
      <c r="AQ51" s="13" t="b">
        <f t="shared" si="36"/>
        <v>0</v>
      </c>
      <c r="AR51" s="13" t="b">
        <f t="shared" si="37"/>
        <v>0</v>
      </c>
      <c r="AS51" s="17" t="b">
        <f t="shared" si="15"/>
        <v>0</v>
      </c>
      <c r="AT51" s="18" t="b">
        <f t="shared" si="16"/>
        <v>0</v>
      </c>
      <c r="AU51" s="18" t="b">
        <f t="shared" si="17"/>
        <v>0</v>
      </c>
      <c r="AV51" s="23" t="b">
        <v>0</v>
      </c>
      <c r="AW51" s="13" t="b">
        <v>0</v>
      </c>
      <c r="AX51" s="13" t="b">
        <v>0</v>
      </c>
      <c r="AY51" s="17" t="b">
        <f t="shared" si="18"/>
        <v>0</v>
      </c>
      <c r="AZ51" s="18" t="b">
        <f t="shared" si="19"/>
        <v>0</v>
      </c>
      <c r="BA51" s="18" t="b">
        <f t="shared" si="20"/>
        <v>0</v>
      </c>
      <c r="BB51" s="23" t="b">
        <v>1</v>
      </c>
      <c r="BC51" s="13" t="b">
        <v>0</v>
      </c>
      <c r="BD51" s="13" t="b">
        <v>0</v>
      </c>
      <c r="BE51" s="17" t="b">
        <f t="shared" si="21"/>
        <v>0</v>
      </c>
      <c r="BF51" s="18" t="b">
        <f t="shared" si="22"/>
        <v>0</v>
      </c>
      <c r="BG51" s="18" t="b">
        <f t="shared" si="23"/>
        <v>0</v>
      </c>
      <c r="BH51" s="23" t="b">
        <v>0</v>
      </c>
      <c r="BI51" s="13" t="b">
        <v>0</v>
      </c>
      <c r="BJ51" s="13" t="b">
        <v>0</v>
      </c>
      <c r="BK51" s="17" t="b">
        <f t="shared" si="24"/>
        <v>0</v>
      </c>
      <c r="BL51" s="18" t="b">
        <f t="shared" si="25"/>
        <v>0</v>
      </c>
      <c r="BM51" s="18" t="b">
        <f t="shared" si="26"/>
        <v>0</v>
      </c>
    </row>
    <row r="52" spans="1:65" s="7" customFormat="1" x14ac:dyDescent="0.2">
      <c r="A52" s="6" t="s">
        <v>17</v>
      </c>
      <c r="B52" s="7" t="b">
        <f t="shared" ref="B52:C58" si="41">OR(Y52,AH52,AQ52)</f>
        <v>0</v>
      </c>
      <c r="C52" s="7" t="b">
        <f t="shared" si="41"/>
        <v>0</v>
      </c>
      <c r="D52" s="7" t="b">
        <f t="shared" si="38"/>
        <v>0</v>
      </c>
      <c r="E52" s="7">
        <v>0</v>
      </c>
      <c r="F52" s="7" t="b">
        <v>1</v>
      </c>
      <c r="G52" s="7" t="b">
        <v>1</v>
      </c>
      <c r="H52" s="7" t="b">
        <v>1</v>
      </c>
      <c r="I52" s="7">
        <v>0.67728011072108996</v>
      </c>
      <c r="J52" s="7">
        <v>0.94759803794479303</v>
      </c>
      <c r="K52" s="7">
        <v>0.79000236134934898</v>
      </c>
      <c r="L52" s="7">
        <v>0.65415413512309395</v>
      </c>
      <c r="M52" s="7">
        <v>0.69725537744516497</v>
      </c>
      <c r="N52" s="7">
        <v>0.94415106188627496</v>
      </c>
      <c r="O52" s="7">
        <v>0.80941577195483405</v>
      </c>
      <c r="P52" s="7">
        <v>0.65135126433923896</v>
      </c>
      <c r="Q52" s="7">
        <v>0.58281969693852398</v>
      </c>
      <c r="R52" s="7">
        <v>0.94190889100145003</v>
      </c>
      <c r="S52" s="7">
        <v>0.72204044260240896</v>
      </c>
      <c r="T52" s="7">
        <v>0.52720917143386303</v>
      </c>
      <c r="U52" s="11">
        <v>1</v>
      </c>
      <c r="V52" s="7">
        <v>0</v>
      </c>
      <c r="W52" s="7">
        <v>0</v>
      </c>
      <c r="X52" s="14" t="b">
        <f t="shared" si="27"/>
        <v>1</v>
      </c>
      <c r="Y52" s="14" t="b">
        <f t="shared" si="28"/>
        <v>0</v>
      </c>
      <c r="Z52" s="14" t="b">
        <f t="shared" si="29"/>
        <v>0</v>
      </c>
      <c r="AA52" s="19" t="b">
        <f t="shared" si="7"/>
        <v>1</v>
      </c>
      <c r="AB52" s="20" t="b">
        <f t="shared" si="8"/>
        <v>0</v>
      </c>
      <c r="AC52" s="20" t="b">
        <f t="shared" si="9"/>
        <v>0</v>
      </c>
      <c r="AD52" s="11">
        <v>12</v>
      </c>
      <c r="AE52" s="7">
        <v>0</v>
      </c>
      <c r="AF52" s="7">
        <v>0</v>
      </c>
      <c r="AG52" s="14" t="b">
        <f t="shared" ref="AG52:AG58" si="42">IF(AD52&gt;0, TRUE,FALSE)</f>
        <v>1</v>
      </c>
      <c r="AH52" s="14" t="b">
        <f t="shared" ref="AH52:AH58" si="43">IF(AE52&gt;0, TRUE,FALSE)</f>
        <v>0</v>
      </c>
      <c r="AI52" s="14" t="b">
        <f t="shared" ref="AI52:AI58" si="44">IF(AF52&gt;0, TRUE,FALSE)</f>
        <v>0</v>
      </c>
      <c r="AJ52" s="19" t="b">
        <f t="shared" si="11"/>
        <v>1</v>
      </c>
      <c r="AK52" s="20" t="b">
        <f t="shared" si="12"/>
        <v>0</v>
      </c>
      <c r="AL52" s="20" t="b">
        <f t="shared" si="13"/>
        <v>0</v>
      </c>
      <c r="AM52" s="11">
        <v>23</v>
      </c>
      <c r="AN52" s="7">
        <v>0</v>
      </c>
      <c r="AO52" s="7">
        <v>0</v>
      </c>
      <c r="AP52" s="14" t="b">
        <f t="shared" ref="AP52:AP58" si="45">IF(AM52&gt;0, TRUE,FALSE)</f>
        <v>1</v>
      </c>
      <c r="AQ52" s="14" t="b">
        <f t="shared" ref="AQ52:AQ58" si="46">IF(AN52&gt;0, TRUE,FALSE)</f>
        <v>0</v>
      </c>
      <c r="AR52" s="14" t="b">
        <f t="shared" ref="AR52:AR58" si="47">IF(AO52&gt;0, TRUE,FALSE)</f>
        <v>0</v>
      </c>
      <c r="AS52" s="19" t="b">
        <f t="shared" si="15"/>
        <v>1</v>
      </c>
      <c r="AT52" s="20" t="b">
        <f t="shared" si="16"/>
        <v>0</v>
      </c>
      <c r="AU52" s="20" t="b">
        <f t="shared" si="17"/>
        <v>0</v>
      </c>
      <c r="AV52" s="24" t="b">
        <v>0</v>
      </c>
      <c r="AW52" s="14" t="b">
        <v>0</v>
      </c>
      <c r="AX52" s="14" t="b">
        <v>0</v>
      </c>
      <c r="AY52" s="19" t="b">
        <f t="shared" si="18"/>
        <v>0</v>
      </c>
      <c r="AZ52" s="20" t="b">
        <f t="shared" si="19"/>
        <v>0</v>
      </c>
      <c r="BA52" s="20" t="b">
        <f t="shared" si="20"/>
        <v>0</v>
      </c>
      <c r="BB52" s="24" t="b">
        <v>0</v>
      </c>
      <c r="BC52" s="14" t="b">
        <v>0</v>
      </c>
      <c r="BD52" s="14" t="b">
        <v>0</v>
      </c>
      <c r="BE52" s="19" t="b">
        <f t="shared" si="21"/>
        <v>0</v>
      </c>
      <c r="BF52" s="20" t="b">
        <f t="shared" si="22"/>
        <v>0</v>
      </c>
      <c r="BG52" s="20" t="b">
        <f t="shared" si="23"/>
        <v>0</v>
      </c>
      <c r="BH52" s="24" t="b">
        <v>0</v>
      </c>
      <c r="BI52" s="14" t="b">
        <v>0</v>
      </c>
      <c r="BJ52" s="14" t="b">
        <v>0</v>
      </c>
      <c r="BK52" s="19" t="b">
        <f t="shared" si="24"/>
        <v>0</v>
      </c>
      <c r="BL52" s="20" t="b">
        <f t="shared" si="25"/>
        <v>0</v>
      </c>
      <c r="BM52" s="20" t="b">
        <f t="shared" si="26"/>
        <v>0</v>
      </c>
    </row>
    <row r="53" spans="1:65" s="7" customFormat="1" x14ac:dyDescent="0.2">
      <c r="A53" s="6" t="s">
        <v>18</v>
      </c>
      <c r="B53" s="7" t="b">
        <f t="shared" si="41"/>
        <v>0</v>
      </c>
      <c r="C53" s="7" t="b">
        <f t="shared" si="41"/>
        <v>0</v>
      </c>
      <c r="D53" s="7" t="b">
        <f t="shared" si="38"/>
        <v>0</v>
      </c>
      <c r="E53" s="7">
        <v>0</v>
      </c>
      <c r="F53" s="7" t="b">
        <v>1</v>
      </c>
      <c r="G53" s="7" t="b">
        <v>1</v>
      </c>
      <c r="H53" s="7" t="b">
        <v>1</v>
      </c>
      <c r="I53" s="7">
        <v>0.23029460961617099</v>
      </c>
      <c r="J53" s="7">
        <v>0.94461665525947203</v>
      </c>
      <c r="K53" s="7">
        <v>0.34339490156951002</v>
      </c>
      <c r="L53" s="7">
        <v>0.16853334997145</v>
      </c>
      <c r="M53" s="7">
        <v>0.188209786523927</v>
      </c>
      <c r="N53" s="7">
        <v>0.92648784345277901</v>
      </c>
      <c r="O53" s="7">
        <v>0.27942634125627103</v>
      </c>
      <c r="P53" s="7">
        <v>0.16777129638941901</v>
      </c>
      <c r="U53" s="11">
        <v>4</v>
      </c>
      <c r="V53" s="7">
        <v>0</v>
      </c>
      <c r="W53" s="7">
        <v>0</v>
      </c>
      <c r="X53" s="14" t="b">
        <f t="shared" si="27"/>
        <v>1</v>
      </c>
      <c r="Y53" s="14" t="b">
        <f t="shared" si="28"/>
        <v>0</v>
      </c>
      <c r="Z53" s="14" t="b">
        <f t="shared" si="29"/>
        <v>0</v>
      </c>
      <c r="AA53" s="19" t="b">
        <f t="shared" si="7"/>
        <v>1</v>
      </c>
      <c r="AB53" s="20" t="b">
        <f t="shared" si="8"/>
        <v>0</v>
      </c>
      <c r="AC53" s="20" t="b">
        <f t="shared" si="9"/>
        <v>0</v>
      </c>
      <c r="AD53" s="11">
        <v>5</v>
      </c>
      <c r="AE53" s="7">
        <v>0</v>
      </c>
      <c r="AF53" s="7">
        <v>0</v>
      </c>
      <c r="AG53" s="14" t="b">
        <f t="shared" si="42"/>
        <v>1</v>
      </c>
      <c r="AH53" s="14" t="b">
        <f t="shared" si="43"/>
        <v>0</v>
      </c>
      <c r="AI53" s="14" t="b">
        <f t="shared" si="44"/>
        <v>0</v>
      </c>
      <c r="AJ53" s="19" t="b">
        <f t="shared" si="11"/>
        <v>1</v>
      </c>
      <c r="AK53" s="20" t="b">
        <f t="shared" si="12"/>
        <v>0</v>
      </c>
      <c r="AL53" s="20" t="b">
        <f t="shared" si="13"/>
        <v>0</v>
      </c>
      <c r="AM53" s="11">
        <v>15</v>
      </c>
      <c r="AN53" s="7">
        <v>0</v>
      </c>
      <c r="AO53" s="7">
        <v>0</v>
      </c>
      <c r="AP53" s="14" t="b">
        <f t="shared" si="45"/>
        <v>1</v>
      </c>
      <c r="AQ53" s="14" t="b">
        <f t="shared" si="46"/>
        <v>0</v>
      </c>
      <c r="AR53" s="14" t="b">
        <f t="shared" si="47"/>
        <v>0</v>
      </c>
      <c r="AS53" s="19" t="b">
        <f t="shared" si="15"/>
        <v>1</v>
      </c>
      <c r="AT53" s="20" t="b">
        <f t="shared" si="16"/>
        <v>0</v>
      </c>
      <c r="AU53" s="20" t="b">
        <f t="shared" si="17"/>
        <v>0</v>
      </c>
      <c r="AV53" s="24" t="b">
        <v>1</v>
      </c>
      <c r="AW53" s="14" t="b">
        <v>1</v>
      </c>
      <c r="AX53" s="14" t="b">
        <v>1</v>
      </c>
      <c r="AY53" s="19" t="b">
        <f t="shared" si="18"/>
        <v>1</v>
      </c>
      <c r="AZ53" s="20" t="b">
        <f t="shared" si="19"/>
        <v>1</v>
      </c>
      <c r="BA53" s="20" t="b">
        <f t="shared" si="20"/>
        <v>1</v>
      </c>
      <c r="BB53" s="24" t="b">
        <v>1</v>
      </c>
      <c r="BC53" s="14" t="b">
        <v>1</v>
      </c>
      <c r="BD53" s="14" t="b">
        <v>1</v>
      </c>
      <c r="BE53" s="19" t="b">
        <f t="shared" si="21"/>
        <v>1</v>
      </c>
      <c r="BF53" s="20" t="b">
        <f t="shared" si="22"/>
        <v>1</v>
      </c>
      <c r="BG53" s="20" t="b">
        <f t="shared" si="23"/>
        <v>1</v>
      </c>
      <c r="BH53" s="24" t="b">
        <v>0</v>
      </c>
      <c r="BI53" s="14" t="b">
        <v>0</v>
      </c>
      <c r="BJ53" s="14" t="b">
        <v>0</v>
      </c>
      <c r="BK53" s="19" t="b">
        <f t="shared" si="24"/>
        <v>0</v>
      </c>
      <c r="BL53" s="20" t="b">
        <f t="shared" si="25"/>
        <v>0</v>
      </c>
      <c r="BM53" s="20" t="b">
        <f t="shared" si="26"/>
        <v>0</v>
      </c>
    </row>
    <row r="54" spans="1:65" x14ac:dyDescent="0.2">
      <c r="A54" s="2" t="s">
        <v>19</v>
      </c>
      <c r="B54" t="b">
        <f t="shared" si="41"/>
        <v>1</v>
      </c>
      <c r="C54" t="b">
        <f t="shared" si="41"/>
        <v>1</v>
      </c>
      <c r="D54" t="b">
        <f t="shared" si="38"/>
        <v>1</v>
      </c>
      <c r="E54">
        <v>0</v>
      </c>
      <c r="F54" t="b">
        <v>1</v>
      </c>
      <c r="G54" t="b">
        <v>1</v>
      </c>
      <c r="H54" t="b">
        <v>1</v>
      </c>
      <c r="I54">
        <v>0.62321556775271802</v>
      </c>
      <c r="J54">
        <v>0.98329387021372905</v>
      </c>
      <c r="K54">
        <v>0.75806453992084399</v>
      </c>
      <c r="L54">
        <v>0.56929833843222799</v>
      </c>
      <c r="M54">
        <v>0.48002828442502699</v>
      </c>
      <c r="N54">
        <v>0.98572598983013204</v>
      </c>
      <c r="O54">
        <v>0.625491800928899</v>
      </c>
      <c r="P54">
        <v>0.43518864382189199</v>
      </c>
      <c r="Q54">
        <v>0.62812756092404398</v>
      </c>
      <c r="R54">
        <v>0.961566716125556</v>
      </c>
      <c r="S54">
        <v>0.762280220852941</v>
      </c>
      <c r="T54">
        <v>0.56264113974101004</v>
      </c>
      <c r="U54" s="9">
        <v>4</v>
      </c>
      <c r="V54">
        <v>4</v>
      </c>
      <c r="W54">
        <v>4</v>
      </c>
      <c r="X54" s="12" t="b">
        <f t="shared" si="27"/>
        <v>1</v>
      </c>
      <c r="Y54" s="12" t="b">
        <f t="shared" si="28"/>
        <v>1</v>
      </c>
      <c r="Z54" s="12" t="b">
        <f t="shared" si="29"/>
        <v>1</v>
      </c>
      <c r="AA54" s="15" t="b">
        <f t="shared" si="7"/>
        <v>1</v>
      </c>
      <c r="AB54" s="16" t="b">
        <f t="shared" si="8"/>
        <v>1</v>
      </c>
      <c r="AC54" s="16" t="b">
        <f t="shared" si="9"/>
        <v>1</v>
      </c>
      <c r="AD54" s="9">
        <v>2</v>
      </c>
      <c r="AE54">
        <v>1</v>
      </c>
      <c r="AF54">
        <v>1</v>
      </c>
      <c r="AG54" s="12" t="b">
        <f t="shared" si="42"/>
        <v>1</v>
      </c>
      <c r="AH54" s="12" t="b">
        <f t="shared" si="43"/>
        <v>1</v>
      </c>
      <c r="AI54" s="12" t="b">
        <f t="shared" si="44"/>
        <v>1</v>
      </c>
      <c r="AJ54" s="15" t="b">
        <f t="shared" si="11"/>
        <v>1</v>
      </c>
      <c r="AK54" s="16" t="b">
        <f t="shared" si="12"/>
        <v>1</v>
      </c>
      <c r="AL54" s="16" t="b">
        <f t="shared" si="13"/>
        <v>1</v>
      </c>
      <c r="AM54" s="9">
        <v>9</v>
      </c>
      <c r="AN54">
        <v>0</v>
      </c>
      <c r="AO54">
        <v>0</v>
      </c>
      <c r="AP54" s="12" t="b">
        <f t="shared" si="45"/>
        <v>1</v>
      </c>
      <c r="AQ54" s="12" t="b">
        <f t="shared" si="46"/>
        <v>0</v>
      </c>
      <c r="AR54" s="12" t="b">
        <f t="shared" si="47"/>
        <v>0</v>
      </c>
      <c r="AS54" s="15" t="b">
        <f t="shared" si="15"/>
        <v>1</v>
      </c>
      <c r="AT54" s="16" t="b">
        <f t="shared" si="16"/>
        <v>0</v>
      </c>
      <c r="AU54" s="16" t="b">
        <f t="shared" si="17"/>
        <v>0</v>
      </c>
      <c r="AV54" s="21" t="b">
        <v>1</v>
      </c>
      <c r="AW54" s="22" t="b">
        <v>1</v>
      </c>
      <c r="AX54" s="22" t="b">
        <v>1</v>
      </c>
      <c r="AY54" s="15" t="b">
        <f t="shared" si="18"/>
        <v>1</v>
      </c>
      <c r="AZ54" s="16" t="b">
        <f t="shared" si="19"/>
        <v>1</v>
      </c>
      <c r="BA54" s="16" t="b">
        <f t="shared" si="20"/>
        <v>1</v>
      </c>
      <c r="BB54" s="21" t="b">
        <v>1</v>
      </c>
      <c r="BC54" s="12" t="b">
        <v>1</v>
      </c>
      <c r="BD54" s="12" t="b">
        <v>1</v>
      </c>
      <c r="BE54" s="15" t="b">
        <f t="shared" si="21"/>
        <v>1</v>
      </c>
      <c r="BF54" s="16" t="b">
        <f t="shared" si="22"/>
        <v>1</v>
      </c>
      <c r="BG54" s="16" t="b">
        <f t="shared" si="23"/>
        <v>1</v>
      </c>
      <c r="BH54" s="21" t="b">
        <v>0</v>
      </c>
      <c r="BI54" s="12" t="b">
        <v>0</v>
      </c>
      <c r="BJ54" s="12" t="b">
        <v>0</v>
      </c>
      <c r="BK54" s="15" t="b">
        <f t="shared" si="24"/>
        <v>0</v>
      </c>
      <c r="BL54" s="16" t="b">
        <f t="shared" si="25"/>
        <v>0</v>
      </c>
      <c r="BM54" s="16" t="b">
        <f t="shared" si="26"/>
        <v>0</v>
      </c>
    </row>
    <row r="55" spans="1:65" x14ac:dyDescent="0.2">
      <c r="A55" s="2" t="s">
        <v>19</v>
      </c>
      <c r="B55" t="b">
        <f t="shared" si="41"/>
        <v>1</v>
      </c>
      <c r="C55" t="b">
        <f t="shared" si="41"/>
        <v>1</v>
      </c>
      <c r="D55" t="b">
        <f t="shared" si="38"/>
        <v>1</v>
      </c>
      <c r="E55">
        <v>1</v>
      </c>
      <c r="F55" t="b">
        <v>1</v>
      </c>
      <c r="G55" t="b">
        <v>1</v>
      </c>
      <c r="H55" t="b">
        <v>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20</v>
      </c>
      <c r="P55" t="s">
        <v>20</v>
      </c>
      <c r="Q55" t="s">
        <v>20</v>
      </c>
      <c r="R55" t="s">
        <v>20</v>
      </c>
      <c r="S55" t="s">
        <v>20</v>
      </c>
      <c r="T55" t="s">
        <v>20</v>
      </c>
      <c r="U55" s="9">
        <v>4</v>
      </c>
      <c r="V55">
        <v>4</v>
      </c>
      <c r="W55">
        <v>0</v>
      </c>
      <c r="X55" s="12" t="b">
        <f t="shared" si="27"/>
        <v>1</v>
      </c>
      <c r="Y55" s="12" t="b">
        <f t="shared" si="28"/>
        <v>1</v>
      </c>
      <c r="Z55" s="12" t="b">
        <f t="shared" si="29"/>
        <v>0</v>
      </c>
      <c r="AA55" s="15" t="b">
        <f t="shared" si="7"/>
        <v>1</v>
      </c>
      <c r="AB55" s="16" t="b">
        <f t="shared" si="8"/>
        <v>1</v>
      </c>
      <c r="AC55" s="16" t="b">
        <f t="shared" si="9"/>
        <v>0</v>
      </c>
      <c r="AD55" s="9">
        <v>2</v>
      </c>
      <c r="AE55">
        <v>1</v>
      </c>
      <c r="AF55">
        <v>1</v>
      </c>
      <c r="AG55" s="12" t="b">
        <f t="shared" si="42"/>
        <v>1</v>
      </c>
      <c r="AH55" s="12" t="b">
        <f t="shared" si="43"/>
        <v>1</v>
      </c>
      <c r="AI55" s="12" t="b">
        <f t="shared" si="44"/>
        <v>1</v>
      </c>
      <c r="AJ55" s="15" t="b">
        <f t="shared" si="11"/>
        <v>1</v>
      </c>
      <c r="AK55" s="16" t="b">
        <f t="shared" si="12"/>
        <v>1</v>
      </c>
      <c r="AL55" s="16" t="b">
        <f t="shared" si="13"/>
        <v>0</v>
      </c>
      <c r="AM55" s="9">
        <v>9</v>
      </c>
      <c r="AN55">
        <v>0</v>
      </c>
      <c r="AO55">
        <v>0</v>
      </c>
      <c r="AP55" s="12" t="b">
        <f t="shared" si="45"/>
        <v>1</v>
      </c>
      <c r="AQ55" s="12" t="b">
        <f t="shared" si="46"/>
        <v>0</v>
      </c>
      <c r="AR55" s="12" t="b">
        <f t="shared" si="47"/>
        <v>0</v>
      </c>
      <c r="AS55" s="15" t="b">
        <f t="shared" si="15"/>
        <v>1</v>
      </c>
      <c r="AT55" s="16" t="b">
        <f t="shared" si="16"/>
        <v>0</v>
      </c>
      <c r="AU55" s="16" t="b">
        <f t="shared" si="17"/>
        <v>0</v>
      </c>
      <c r="AV55" s="21" t="b">
        <v>1</v>
      </c>
      <c r="AW55" s="12" t="b">
        <v>1</v>
      </c>
      <c r="AX55" s="22" t="b">
        <v>0</v>
      </c>
      <c r="AY55" s="15" t="b">
        <f t="shared" si="18"/>
        <v>1</v>
      </c>
      <c r="AZ55" s="16" t="b">
        <f t="shared" si="19"/>
        <v>1</v>
      </c>
      <c r="BA55" s="16" t="b">
        <f t="shared" si="20"/>
        <v>0</v>
      </c>
      <c r="BB55" s="21" t="b">
        <v>1</v>
      </c>
      <c r="BC55" s="12" t="b">
        <v>1</v>
      </c>
      <c r="BD55" s="12" t="b">
        <v>0</v>
      </c>
      <c r="BE55" s="15" t="b">
        <f t="shared" si="21"/>
        <v>1</v>
      </c>
      <c r="BF55" s="16" t="b">
        <f t="shared" si="22"/>
        <v>1</v>
      </c>
      <c r="BG55" s="16" t="b">
        <f t="shared" si="23"/>
        <v>0</v>
      </c>
      <c r="BH55" s="21" t="b">
        <v>0</v>
      </c>
      <c r="BI55" s="12" t="b">
        <v>0</v>
      </c>
      <c r="BJ55" s="12" t="b">
        <v>0</v>
      </c>
      <c r="BK55" s="15" t="b">
        <f t="shared" si="24"/>
        <v>0</v>
      </c>
      <c r="BL55" s="16" t="b">
        <f t="shared" si="25"/>
        <v>0</v>
      </c>
      <c r="BM55" s="16" t="b">
        <f t="shared" si="26"/>
        <v>0</v>
      </c>
    </row>
    <row r="56" spans="1:65" x14ac:dyDescent="0.2">
      <c r="A56" s="2" t="s">
        <v>19</v>
      </c>
      <c r="B56" t="b">
        <f t="shared" si="41"/>
        <v>1</v>
      </c>
      <c r="C56" t="b">
        <f t="shared" si="41"/>
        <v>1</v>
      </c>
      <c r="D56" t="b">
        <f t="shared" si="38"/>
        <v>1</v>
      </c>
      <c r="E56">
        <v>2</v>
      </c>
      <c r="F56" t="b">
        <v>1</v>
      </c>
      <c r="G56" t="b">
        <v>1</v>
      </c>
      <c r="H56" t="b">
        <v>0</v>
      </c>
      <c r="I56">
        <v>0.83222928860521295</v>
      </c>
      <c r="J56">
        <v>0.99486882173073499</v>
      </c>
      <c r="K56">
        <v>0.89045718167468302</v>
      </c>
      <c r="L56">
        <v>0.795111091865493</v>
      </c>
      <c r="M56">
        <v>0.83140530234651899</v>
      </c>
      <c r="N56">
        <v>0.99614372211405799</v>
      </c>
      <c r="O56">
        <v>0.891060337318197</v>
      </c>
      <c r="P56">
        <v>0.77751994153247495</v>
      </c>
      <c r="Q56">
        <v>0.83674091120586602</v>
      </c>
      <c r="R56">
        <v>0.98576559374431705</v>
      </c>
      <c r="S56">
        <v>0.89668643012068705</v>
      </c>
      <c r="T56">
        <v>0.78306356920092801</v>
      </c>
      <c r="U56" s="9">
        <v>4</v>
      </c>
      <c r="V56">
        <v>4</v>
      </c>
      <c r="W56">
        <v>0</v>
      </c>
      <c r="X56" s="12" t="b">
        <f t="shared" si="27"/>
        <v>1</v>
      </c>
      <c r="Y56" s="12" t="b">
        <f t="shared" si="28"/>
        <v>1</v>
      </c>
      <c r="Z56" s="12" t="b">
        <f t="shared" si="29"/>
        <v>0</v>
      </c>
      <c r="AA56" s="15" t="b">
        <f t="shared" si="7"/>
        <v>1</v>
      </c>
      <c r="AB56" s="16" t="b">
        <f t="shared" si="8"/>
        <v>1</v>
      </c>
      <c r="AC56" s="16" t="b">
        <f t="shared" si="9"/>
        <v>0</v>
      </c>
      <c r="AD56" s="9">
        <v>2</v>
      </c>
      <c r="AE56">
        <v>1</v>
      </c>
      <c r="AF56">
        <v>1</v>
      </c>
      <c r="AG56" s="12" t="b">
        <f t="shared" si="42"/>
        <v>1</v>
      </c>
      <c r="AH56" s="12" t="b">
        <f t="shared" si="43"/>
        <v>1</v>
      </c>
      <c r="AI56" s="12" t="b">
        <f t="shared" si="44"/>
        <v>1</v>
      </c>
      <c r="AJ56" s="15" t="b">
        <f t="shared" si="11"/>
        <v>1</v>
      </c>
      <c r="AK56" s="16" t="b">
        <f t="shared" si="12"/>
        <v>1</v>
      </c>
      <c r="AL56" s="16" t="b">
        <f t="shared" si="13"/>
        <v>0</v>
      </c>
      <c r="AM56" s="9">
        <v>9</v>
      </c>
      <c r="AN56">
        <v>0</v>
      </c>
      <c r="AO56">
        <v>0</v>
      </c>
      <c r="AP56" s="12" t="b">
        <f t="shared" si="45"/>
        <v>1</v>
      </c>
      <c r="AQ56" s="12" t="b">
        <f t="shared" si="46"/>
        <v>0</v>
      </c>
      <c r="AR56" s="12" t="b">
        <f t="shared" si="47"/>
        <v>0</v>
      </c>
      <c r="AS56" s="15" t="b">
        <f t="shared" si="15"/>
        <v>1</v>
      </c>
      <c r="AT56" s="16" t="b">
        <f t="shared" si="16"/>
        <v>0</v>
      </c>
      <c r="AU56" s="16" t="b">
        <f t="shared" si="17"/>
        <v>0</v>
      </c>
      <c r="AV56" s="21" t="b">
        <v>1</v>
      </c>
      <c r="AW56" s="12" t="b">
        <v>1</v>
      </c>
      <c r="AX56" s="12" t="b">
        <v>1</v>
      </c>
      <c r="AY56" s="15" t="b">
        <f t="shared" si="18"/>
        <v>1</v>
      </c>
      <c r="AZ56" s="16" t="b">
        <f t="shared" si="19"/>
        <v>1</v>
      </c>
      <c r="BA56" s="16" t="b">
        <f t="shared" si="20"/>
        <v>0</v>
      </c>
      <c r="BB56" s="21" t="b">
        <v>1</v>
      </c>
      <c r="BC56" s="12" t="b">
        <v>1</v>
      </c>
      <c r="BD56" s="12" t="b">
        <v>1</v>
      </c>
      <c r="BE56" s="15" t="b">
        <f t="shared" si="21"/>
        <v>1</v>
      </c>
      <c r="BF56" s="16" t="b">
        <f t="shared" si="22"/>
        <v>1</v>
      </c>
      <c r="BG56" s="16" t="b">
        <f t="shared" si="23"/>
        <v>0</v>
      </c>
      <c r="BH56" s="21" t="b">
        <v>0</v>
      </c>
      <c r="BI56" s="12" t="b">
        <v>0</v>
      </c>
      <c r="BJ56" s="12" t="b">
        <v>0</v>
      </c>
      <c r="BK56" s="15" t="b">
        <f t="shared" si="24"/>
        <v>0</v>
      </c>
      <c r="BL56" s="16" t="b">
        <f t="shared" si="25"/>
        <v>0</v>
      </c>
      <c r="BM56" s="16" t="b">
        <f t="shared" si="26"/>
        <v>0</v>
      </c>
    </row>
    <row r="57" spans="1:65" x14ac:dyDescent="0.2">
      <c r="A57" s="2" t="s">
        <v>19</v>
      </c>
      <c r="B57" t="b">
        <f t="shared" si="41"/>
        <v>1</v>
      </c>
      <c r="C57" t="b">
        <f t="shared" si="41"/>
        <v>1</v>
      </c>
      <c r="D57" t="b">
        <f t="shared" si="38"/>
        <v>1</v>
      </c>
      <c r="E57">
        <v>3</v>
      </c>
      <c r="F57" t="b">
        <v>1</v>
      </c>
      <c r="G57" t="b">
        <v>1</v>
      </c>
      <c r="H57" t="b">
        <v>0</v>
      </c>
      <c r="I57">
        <v>0.83056433238795802</v>
      </c>
      <c r="J57">
        <v>0.99455198175066695</v>
      </c>
      <c r="K57">
        <v>0.89387772380143404</v>
      </c>
      <c r="L57">
        <v>0.78837039265628905</v>
      </c>
      <c r="M57">
        <v>0.82281189400307098</v>
      </c>
      <c r="N57">
        <v>0.98802119377162601</v>
      </c>
      <c r="O57">
        <v>0.88847739805563997</v>
      </c>
      <c r="P57">
        <v>0.77993060493542299</v>
      </c>
      <c r="Q57">
        <v>0.84155351189023897</v>
      </c>
      <c r="R57">
        <v>0.97680261963428805</v>
      </c>
      <c r="S57">
        <v>0.90270561469355803</v>
      </c>
      <c r="T57">
        <v>0.798692743495513</v>
      </c>
      <c r="U57" s="9">
        <v>4</v>
      </c>
      <c r="V57">
        <v>4</v>
      </c>
      <c r="W57">
        <v>0</v>
      </c>
      <c r="X57" s="12" t="b">
        <f t="shared" si="27"/>
        <v>1</v>
      </c>
      <c r="Y57" s="12" t="b">
        <f t="shared" si="28"/>
        <v>1</v>
      </c>
      <c r="Z57" s="12" t="b">
        <f t="shared" si="29"/>
        <v>0</v>
      </c>
      <c r="AA57" s="15" t="b">
        <f t="shared" si="7"/>
        <v>1</v>
      </c>
      <c r="AB57" s="16" t="b">
        <f t="shared" si="8"/>
        <v>1</v>
      </c>
      <c r="AC57" s="16" t="b">
        <f t="shared" si="9"/>
        <v>0</v>
      </c>
      <c r="AD57" s="9">
        <v>2</v>
      </c>
      <c r="AE57">
        <v>1</v>
      </c>
      <c r="AF57">
        <v>1</v>
      </c>
      <c r="AG57" s="12" t="b">
        <f t="shared" si="42"/>
        <v>1</v>
      </c>
      <c r="AH57" s="12" t="b">
        <f t="shared" si="43"/>
        <v>1</v>
      </c>
      <c r="AI57" s="12" t="b">
        <f t="shared" si="44"/>
        <v>1</v>
      </c>
      <c r="AJ57" s="15" t="b">
        <f t="shared" si="11"/>
        <v>1</v>
      </c>
      <c r="AK57" s="16" t="b">
        <f t="shared" si="12"/>
        <v>1</v>
      </c>
      <c r="AL57" s="16" t="b">
        <f t="shared" si="13"/>
        <v>0</v>
      </c>
      <c r="AM57" s="9">
        <v>9</v>
      </c>
      <c r="AN57">
        <v>0</v>
      </c>
      <c r="AO57">
        <v>0</v>
      </c>
      <c r="AP57" s="12" t="b">
        <f t="shared" si="45"/>
        <v>1</v>
      </c>
      <c r="AQ57" s="12" t="b">
        <f t="shared" si="46"/>
        <v>0</v>
      </c>
      <c r="AR57" s="12" t="b">
        <f t="shared" si="47"/>
        <v>0</v>
      </c>
      <c r="AS57" s="15" t="b">
        <f t="shared" si="15"/>
        <v>1</v>
      </c>
      <c r="AT57" s="16" t="b">
        <f t="shared" si="16"/>
        <v>0</v>
      </c>
      <c r="AU57" s="16" t="b">
        <f t="shared" si="17"/>
        <v>0</v>
      </c>
      <c r="AV57" s="21" t="b">
        <v>1</v>
      </c>
      <c r="AW57" s="12" t="b">
        <v>1</v>
      </c>
      <c r="AX57" s="12" t="b">
        <v>1</v>
      </c>
      <c r="AY57" s="15" t="b">
        <f t="shared" si="18"/>
        <v>1</v>
      </c>
      <c r="AZ57" s="16" t="b">
        <f t="shared" si="19"/>
        <v>1</v>
      </c>
      <c r="BA57" s="16" t="b">
        <f t="shared" si="20"/>
        <v>0</v>
      </c>
      <c r="BB57" s="21" t="b">
        <v>1</v>
      </c>
      <c r="BC57" s="12" t="b">
        <v>1</v>
      </c>
      <c r="BD57" s="12" t="b">
        <v>1</v>
      </c>
      <c r="BE57" s="15" t="b">
        <f t="shared" si="21"/>
        <v>1</v>
      </c>
      <c r="BF57" s="16" t="b">
        <f t="shared" si="22"/>
        <v>1</v>
      </c>
      <c r="BG57" s="16" t="b">
        <f t="shared" si="23"/>
        <v>0</v>
      </c>
      <c r="BH57" s="21" t="b">
        <v>0</v>
      </c>
      <c r="BI57" s="12" t="b">
        <v>0</v>
      </c>
      <c r="BJ57" s="12" t="b">
        <v>0</v>
      </c>
      <c r="BK57" s="15" t="b">
        <f t="shared" si="24"/>
        <v>0</v>
      </c>
      <c r="BL57" s="16" t="b">
        <f t="shared" si="25"/>
        <v>0</v>
      </c>
      <c r="BM57" s="16" t="b">
        <f t="shared" si="26"/>
        <v>0</v>
      </c>
    </row>
    <row r="58" spans="1:65" x14ac:dyDescent="0.2">
      <c r="A58" s="2" t="s">
        <v>19</v>
      </c>
      <c r="B58" t="b">
        <f t="shared" si="41"/>
        <v>1</v>
      </c>
      <c r="C58" t="b">
        <f t="shared" si="41"/>
        <v>1</v>
      </c>
      <c r="D58" t="b">
        <f t="shared" si="38"/>
        <v>1</v>
      </c>
      <c r="E58">
        <v>4</v>
      </c>
      <c r="F58" t="b">
        <v>1</v>
      </c>
      <c r="G58" t="b">
        <v>1</v>
      </c>
      <c r="H58" t="b">
        <v>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20</v>
      </c>
      <c r="P58" t="s">
        <v>20</v>
      </c>
      <c r="Q58" t="s">
        <v>20</v>
      </c>
      <c r="R58" t="s">
        <v>20</v>
      </c>
      <c r="S58" t="s">
        <v>20</v>
      </c>
      <c r="T58" t="s">
        <v>20</v>
      </c>
      <c r="U58" s="9">
        <v>4</v>
      </c>
      <c r="V58">
        <v>4</v>
      </c>
      <c r="W58">
        <v>0</v>
      </c>
      <c r="X58" s="12" t="b">
        <f t="shared" si="27"/>
        <v>1</v>
      </c>
      <c r="Y58" s="12" t="b">
        <f t="shared" si="28"/>
        <v>1</v>
      </c>
      <c r="Z58" s="12" t="b">
        <f t="shared" si="29"/>
        <v>0</v>
      </c>
      <c r="AA58" s="15" t="b">
        <f t="shared" si="7"/>
        <v>1</v>
      </c>
      <c r="AB58" s="16" t="b">
        <f t="shared" si="8"/>
        <v>1</v>
      </c>
      <c r="AC58" s="16" t="b">
        <f t="shared" si="9"/>
        <v>0</v>
      </c>
      <c r="AD58" s="9">
        <v>2</v>
      </c>
      <c r="AE58">
        <v>1</v>
      </c>
      <c r="AF58">
        <v>1</v>
      </c>
      <c r="AG58" s="12" t="b">
        <f t="shared" si="42"/>
        <v>1</v>
      </c>
      <c r="AH58" s="12" t="b">
        <f t="shared" si="43"/>
        <v>1</v>
      </c>
      <c r="AI58" s="12" t="b">
        <f t="shared" si="44"/>
        <v>1</v>
      </c>
      <c r="AJ58" s="15" t="b">
        <f t="shared" si="11"/>
        <v>1</v>
      </c>
      <c r="AK58" s="16" t="b">
        <f t="shared" si="12"/>
        <v>1</v>
      </c>
      <c r="AL58" s="16" t="b">
        <f t="shared" si="13"/>
        <v>0</v>
      </c>
      <c r="AM58" s="9">
        <v>9</v>
      </c>
      <c r="AN58">
        <v>0</v>
      </c>
      <c r="AO58">
        <v>0</v>
      </c>
      <c r="AP58" s="12" t="b">
        <f t="shared" si="45"/>
        <v>1</v>
      </c>
      <c r="AQ58" s="12" t="b">
        <f t="shared" si="46"/>
        <v>0</v>
      </c>
      <c r="AR58" s="12" t="b">
        <f t="shared" si="47"/>
        <v>0</v>
      </c>
      <c r="AS58" s="15" t="b">
        <f t="shared" si="15"/>
        <v>1</v>
      </c>
      <c r="AT58" s="16" t="b">
        <f t="shared" si="16"/>
        <v>0</v>
      </c>
      <c r="AU58" s="16" t="b">
        <f t="shared" si="17"/>
        <v>0</v>
      </c>
      <c r="AV58" s="21" t="b">
        <v>1</v>
      </c>
      <c r="AW58" s="12" t="b">
        <v>1</v>
      </c>
      <c r="AX58" s="12" t="b">
        <v>0</v>
      </c>
      <c r="AY58" s="15" t="b">
        <f t="shared" si="18"/>
        <v>1</v>
      </c>
      <c r="AZ58" s="16" t="b">
        <f t="shared" si="19"/>
        <v>1</v>
      </c>
      <c r="BA58" s="16" t="b">
        <f t="shared" si="20"/>
        <v>0</v>
      </c>
      <c r="BB58" s="21" t="b">
        <v>1</v>
      </c>
      <c r="BC58" s="12" t="b">
        <v>1</v>
      </c>
      <c r="BD58" s="12" t="b">
        <v>0</v>
      </c>
      <c r="BE58" s="15" t="b">
        <f t="shared" si="21"/>
        <v>1</v>
      </c>
      <c r="BF58" s="16" t="b">
        <f t="shared" si="22"/>
        <v>1</v>
      </c>
      <c r="BG58" s="16" t="b">
        <f t="shared" si="23"/>
        <v>0</v>
      </c>
      <c r="BH58" s="21" t="b">
        <v>0</v>
      </c>
      <c r="BI58" s="12" t="b">
        <v>0</v>
      </c>
      <c r="BJ58" s="12" t="b">
        <v>0</v>
      </c>
      <c r="BK58" s="15" t="b">
        <f t="shared" si="24"/>
        <v>0</v>
      </c>
      <c r="BL58" s="16" t="b">
        <f t="shared" si="25"/>
        <v>0</v>
      </c>
      <c r="BM58" s="16" t="b">
        <f t="shared" si="26"/>
        <v>0</v>
      </c>
    </row>
  </sheetData>
  <autoFilter ref="A2:AU58" xr:uid="{76A1B527-95F1-EF4E-97A8-9CD06C92371E}"/>
  <mergeCells count="9">
    <mergeCell ref="BH1:BM1"/>
    <mergeCell ref="AV1:BA1"/>
    <mergeCell ref="BB1:BG1"/>
    <mergeCell ref="I1:L1"/>
    <mergeCell ref="M1:P1"/>
    <mergeCell ref="Q1:T1"/>
    <mergeCell ref="AM1:AU1"/>
    <mergeCell ref="AD1:AL1"/>
    <mergeCell ref="U1:AC1"/>
  </mergeCells>
  <hyperlinks>
    <hyperlink ref="A8" r:id="rId1" tooltip="exiv2-50315" display="https://github.com/sdevlab/BugOss/tree/master/artifacts/exiv2-50315" xr:uid="{8B898238-C760-D742-B464-3285745A6B6E}"/>
    <hyperlink ref="A9" r:id="rId2" tooltip="exiv2-50315" display="https://github.com/sdevlab/BugOss/tree/master/artifacts/exiv2-50315" xr:uid="{5978313C-3A00-2C45-AB71-681AA794EDE4}"/>
    <hyperlink ref="A3" r:id="rId3" tooltip="arrow-40653" display="https://github.com/sdevlab/BugOss/tree/master/artifacts/arrow-40653" xr:uid="{799DEB5B-9C93-D747-B4CB-A79D1C68BF09}"/>
    <hyperlink ref="A5" r:id="rId4" tooltip="aspell-18462" display="https://github.com/sdevlab/BugOss/tree/master/artifacts/aspell-18462" xr:uid="{14337EFC-05C8-7443-A82F-D6D3A398F3D1}"/>
    <hyperlink ref="A6" r:id="rId5" tooltip="curl-8000" display="https://github.com/sdevlab/BugOss/tree/master/artifacts/curl-8000" xr:uid="{D9BFD821-F80D-4C49-B2EE-F461121F60F1}"/>
    <hyperlink ref="A4" r:id="rId6" tooltip="arrow-40653" display="https://github.com/sdevlab/BugOss/tree/master/artifacts/arrow-40653" xr:uid="{48AB5A65-C7AE-884F-86BB-F7CE158591E4}"/>
    <hyperlink ref="A7" r:id="rId7" tooltip="curl-8000" display="https://github.com/sdevlab/BugOss/tree/master/artifacts/curl-8000" xr:uid="{18D72B51-0F05-F746-A8FD-D0A4CB5EB749}"/>
    <hyperlink ref="A10" r:id="rId8" tooltip="file-30222" display="https://github.com/sdevlab/BugOss/tree/master/artifacts/file-30222" xr:uid="{034AEAB2-E5D5-A249-9BBB-E41B8B6148C3}"/>
    <hyperlink ref="A11" r:id="rId9" tooltip="grok-28418" display="https://github.com/sdevlab/BugOss/tree/master/artifacts/grok-28418" xr:uid="{AC1ADF61-3C25-8743-8866-58DF0E8853A0}"/>
    <hyperlink ref="A20" r:id="rId10" tooltip="harfbuzz-55779" display="https://github.com/sdevlab/BugOss/tree/master/artifacts/harfbuzz-55779" xr:uid="{8370C530-4B11-D248-A64C-70BDABF2351B}"/>
    <hyperlink ref="A25" r:id="rId11" tooltip="leptonica-25212" display="https://github.com/sdevlab/BugOss/tree/master/artifacts/leptonica-25212" xr:uid="{B60664C7-424C-3B49-BEB1-ABAD25177A66}"/>
    <hyperlink ref="A28" r:id="rId12" tooltip="libarchive-44843" display="https://github.com/sdevlab/BugOss/tree/master/artifacts/libarchive-44843" xr:uid="{2B7F440B-6B6C-BB4E-9318-DC1EDAF2FC00}"/>
    <hyperlink ref="A33" r:id="rId13" tooltip="libhtp-17198" display="https://github.com/sdevlab/BugOss/tree/master/artifacts/libhtp-17198" xr:uid="{682DD564-F0A0-5243-B577-EFDBD84653D7}"/>
    <hyperlink ref="A35" r:id="rId14" tooltip="libxml2-17737" display="https://github.com/sdevlab/BugOss/tree/master/artifacts/libxml2-17737" xr:uid="{F9AD5F3A-ABCC-9847-9C9D-D29775B3ABF7}"/>
    <hyperlink ref="A38" r:id="rId15" tooltip="ndpi-49057" display="https://github.com/sdevlab/BugOss/tree/master/artifacts/ndpi-49057" xr:uid="{CF45D844-62A5-5B4B-A99C-A6C803CBF164}"/>
    <hyperlink ref="A43" r:id="rId16" tooltip="openh264-26220" display="https://github.com/sdevlab/BugOss/tree/master/artifacts/openh264-26220" xr:uid="{DED79125-C7E5-3F41-B357-ACFB0B555092}"/>
    <hyperlink ref="A44" r:id="rId17" tooltip="openssl-17715" display="https://github.com/sdevlab/BugOss/tree/master/artifacts/openssl-17715" xr:uid="{86CDC780-8592-4945-8D85-FA76612DFD23}"/>
    <hyperlink ref="A46" r:id="rId18" tooltip="pcapplusplus-23592" display="https://github.com/sdevlab/BugOss/tree/master/artifacts/pcapplusplus-23592" xr:uid="{77E1E992-F43F-BE47-A3F3-823E99DEC1A9}"/>
    <hyperlink ref="A52" r:id="rId19" tooltip="readstat-13262" display="https://github.com/sdevlab/BugOss/tree/master/artifacts/readstat-13262" xr:uid="{34DA7599-F634-F94C-B23F-2B02642B7A13}"/>
    <hyperlink ref="A54" r:id="rId20" tooltip="zstd-21970" display="https://github.com/sdevlab/BugOss/tree/master/artifacts/zstd-21970" xr:uid="{20A43EEA-4BAC-5742-8B81-8849BA168511}"/>
    <hyperlink ref="A53" r:id="rId21" tooltip="usrsctp-18080" display="https://github.com/sdevlab/BugOss/tree/master/artifacts/usrsctp-18080" xr:uid="{B63D504E-86C7-D548-8811-CE3C9E21CE0A}"/>
    <hyperlink ref="A12:A19" r:id="rId22" tooltip="grok-28418" display="https://github.com/sdevlab/BugOss/tree/master/artifacts/grok-28418" xr:uid="{7202A879-029F-8345-ACA6-787CBED4DBE0}"/>
    <hyperlink ref="A21" r:id="rId23" tooltip="harfbuzz-55779" display="https://github.com/sdevlab/BugOss/tree/master/artifacts/harfbuzz-55779" xr:uid="{572678B7-0AE4-AD43-9FFB-78E5C21B883C}"/>
    <hyperlink ref="A22" r:id="rId24" tooltip="harfbuzz-55779" display="https://github.com/sdevlab/BugOss/tree/master/artifacts/harfbuzz-55779" xr:uid="{FEF526A4-8A92-7246-AAAB-65F4347C960D}"/>
    <hyperlink ref="A23" r:id="rId25" tooltip="harfbuzz-55779" display="https://github.com/sdevlab/BugOss/tree/master/artifacts/harfbuzz-55779" xr:uid="{832884D0-2E10-8947-898D-CD3032267E2F}"/>
    <hyperlink ref="A24" r:id="rId26" tooltip="harfbuzz-55779" display="https://github.com/sdevlab/BugOss/tree/master/artifacts/harfbuzz-55779" xr:uid="{5D25475C-4E01-D849-8B27-2E67508F6B95}"/>
    <hyperlink ref="A26" r:id="rId27" tooltip="leptonica-25212" display="https://github.com/sdevlab/BugOss/tree/master/artifacts/leptonica-25212" xr:uid="{6A87B452-3448-5845-B8D0-7F4C7FAE124C}"/>
    <hyperlink ref="A27" r:id="rId28" tooltip="leptonica-25212" display="https://github.com/sdevlab/BugOss/tree/master/artifacts/leptonica-25212" xr:uid="{BFEDB747-CB33-2C46-AD1F-90E90261E2B9}"/>
    <hyperlink ref="A29" r:id="rId29" tooltip="libarchive-44843" display="https://github.com/sdevlab/BugOss/tree/master/artifacts/libarchive-44843" xr:uid="{E48A197C-04AD-1441-81C2-E3EEBC9CF524}"/>
    <hyperlink ref="A30" r:id="rId30" tooltip="libarchive-44843" display="https://github.com/sdevlab/BugOss/tree/master/artifacts/libarchive-44843" xr:uid="{A3522710-9716-E643-84F2-852E1AE129A9}"/>
    <hyperlink ref="A31" r:id="rId31" tooltip="libarchive-44843" display="https://github.com/sdevlab/BugOss/tree/master/artifacts/libarchive-44843" xr:uid="{78AA9D9B-49EE-134E-9F51-7B0E7079AB3B}"/>
    <hyperlink ref="A32" r:id="rId32" tooltip="libarchive-44843" display="https://github.com/sdevlab/BugOss/tree/master/artifacts/libarchive-44843" xr:uid="{9F7B1646-80E6-7E4C-8BCB-01F4D118D922}"/>
    <hyperlink ref="A34" r:id="rId33" tooltip="libhtp-17198" display="https://github.com/sdevlab/BugOss/tree/master/artifacts/libhtp-17198" xr:uid="{D71DE8C5-56DE-554D-9E07-52330AFE1A85}"/>
    <hyperlink ref="A36" r:id="rId34" tooltip="libxml2-17737" display="https://github.com/sdevlab/BugOss/tree/master/artifacts/libxml2-17737" xr:uid="{C2D50E40-4BFF-A249-9943-016BF7FA82AD}"/>
    <hyperlink ref="A37" r:id="rId35" tooltip="libxml2-17737" display="https://github.com/sdevlab/BugOss/tree/master/artifacts/libxml2-17737" xr:uid="{F523C034-10E9-6B4A-AC98-13F9291C7046}"/>
    <hyperlink ref="A39" r:id="rId36" tooltip="ndpi-49057" display="https://github.com/sdevlab/BugOss/tree/master/artifacts/ndpi-49057" xr:uid="{AF708D58-DA05-E543-8987-9047F9E69B53}"/>
    <hyperlink ref="A40" r:id="rId37" tooltip="ndpi-49057" display="https://github.com/sdevlab/BugOss/tree/master/artifacts/ndpi-49057" xr:uid="{5FF4894D-C6FF-2545-887D-B0F8D471D712}"/>
    <hyperlink ref="A41" r:id="rId38" tooltip="ndpi-49057" display="https://github.com/sdevlab/BugOss/tree/master/artifacts/ndpi-49057" xr:uid="{F82D8E4D-E4E5-B64D-AF90-F0DF8941BF42}"/>
    <hyperlink ref="A42" r:id="rId39" tooltip="ndpi-49057" display="https://github.com/sdevlab/BugOss/tree/master/artifacts/ndpi-49057" xr:uid="{DB7A6AC6-FD7C-1A4E-BAC7-C15A09DC7D57}"/>
    <hyperlink ref="A45" r:id="rId40" tooltip="openssl-17715" display="https://github.com/sdevlab/BugOss/tree/master/artifacts/openssl-17715" xr:uid="{5C565A0C-2090-2749-A9BC-C0831A1C3B57}"/>
    <hyperlink ref="A47" r:id="rId41" tooltip="pcapplusplus-23592" display="https://github.com/sdevlab/BugOss/tree/master/artifacts/pcapplusplus-23592" xr:uid="{3FD14F37-8A95-B844-81BC-BDAAB2ABCFF6}"/>
    <hyperlink ref="A48" r:id="rId42" tooltip="pcapplusplus-23592" display="https://github.com/sdevlab/BugOss/tree/master/artifacts/pcapplusplus-23592" xr:uid="{146DBECA-D084-E34B-89CD-73A14E4A63DF}"/>
    <hyperlink ref="A49" r:id="rId43" tooltip="pcapplusplus-23592" display="https://github.com/sdevlab/BugOss/tree/master/artifacts/pcapplusplus-23592" xr:uid="{02E9924E-4EA1-1A4E-82EB-27A4814674D7}"/>
    <hyperlink ref="A50" r:id="rId44" tooltip="pcapplusplus-23592" display="https://github.com/sdevlab/BugOss/tree/master/artifacts/pcapplusplus-23592" xr:uid="{C0A6A335-4D6D-5F42-AFDE-808F940DB5C3}"/>
    <hyperlink ref="A51" r:id="rId45" tooltip="pcapplusplus-23592" display="https://github.com/sdevlab/BugOss/tree/master/artifacts/pcapplusplus-23592" xr:uid="{35A932FE-CF86-E14A-A878-353F3AAA3470}"/>
    <hyperlink ref="A55" r:id="rId46" tooltip="zstd-21970" display="https://github.com/sdevlab/BugOss/tree/master/artifacts/zstd-21970" xr:uid="{1FC83652-32C0-7242-922D-154B9FA93C45}"/>
    <hyperlink ref="A56" r:id="rId47" tooltip="zstd-21970" display="https://github.com/sdevlab/BugOss/tree/master/artifacts/zstd-21970" xr:uid="{CEC72779-0442-D643-882C-0DCB8A8C76A1}"/>
    <hyperlink ref="A57" r:id="rId48" tooltip="zstd-21970" display="https://github.com/sdevlab/BugOss/tree/master/artifacts/zstd-21970" xr:uid="{D8951ADA-A884-E245-90CD-CBC6BF0E5F1E}"/>
    <hyperlink ref="A58" r:id="rId49" tooltip="zstd-21970" display="https://github.com/sdevlab/BugOss/tree/master/artifacts/zstd-21970" xr:uid="{2767A900-C6CF-6E46-8C07-A4425C1FE0DE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evaluate_sast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2025-02-01T11:29:46Z</dcterms:created>
  <dcterms:modified xsi:type="dcterms:W3CDTF">2025-05-30T09:44:44Z</dcterms:modified>
</cp:coreProperties>
</file>