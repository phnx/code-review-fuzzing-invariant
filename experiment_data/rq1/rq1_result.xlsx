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0886A8B8-D312-C042-B6F9-7AC20B3B0131}" xr6:coauthVersionLast="47" xr6:coauthVersionMax="47" xr10:uidLastSave="{00000000-0000-0000-0000-000000000000}"/>
  <bookViews>
    <workbookView xWindow="0" yWindow="700" windowWidth="27040" windowHeight="16860" xr2:uid="{E429C8E0-C79E-844D-A1C5-D0754940A531}"/>
  </bookViews>
  <sheets>
    <sheet name="magma_score" sheetId="8" r:id="rId1"/>
  </sheets>
  <definedNames>
    <definedName name="_xlnm._FilterDatabase" localSheetId="0" hidden="1">magma_score!$A$1:$AF$206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8" l="1"/>
  <c r="H211" i="8"/>
  <c r="AD214" i="8"/>
  <c r="AE214" i="8"/>
  <c r="AF214" i="8"/>
  <c r="AD215" i="8"/>
  <c r="AE215" i="8"/>
  <c r="AF215" i="8"/>
  <c r="AD216" i="8"/>
  <c r="AE216" i="8"/>
  <c r="AF216" i="8"/>
  <c r="AD217" i="8"/>
  <c r="AE217" i="8"/>
  <c r="AF217" i="8"/>
  <c r="AD218" i="8"/>
  <c r="AE218" i="8"/>
  <c r="AF218" i="8"/>
  <c r="AC218" i="8"/>
  <c r="AC217" i="8"/>
  <c r="AC216" i="8"/>
  <c r="AC215" i="8"/>
  <c r="AC214" i="8"/>
  <c r="W214" i="8"/>
  <c r="X214" i="8"/>
  <c r="Y214" i="8"/>
  <c r="W215" i="8"/>
  <c r="X215" i="8"/>
  <c r="Y215" i="8"/>
  <c r="W216" i="8"/>
  <c r="X216" i="8"/>
  <c r="Y216" i="8"/>
  <c r="W217" i="8"/>
  <c r="X217" i="8"/>
  <c r="Y217" i="8"/>
  <c r="W218" i="8"/>
  <c r="X218" i="8"/>
  <c r="Y218" i="8"/>
  <c r="V218" i="8"/>
  <c r="V217" i="8"/>
  <c r="V216" i="8"/>
  <c r="V215" i="8"/>
  <c r="V214" i="8"/>
  <c r="Q216" i="8"/>
  <c r="R216" i="8"/>
  <c r="P214" i="8"/>
  <c r="Q214" i="8"/>
  <c r="R214" i="8"/>
  <c r="P215" i="8"/>
  <c r="Q215" i="8"/>
  <c r="R215" i="8"/>
  <c r="P216" i="8"/>
  <c r="P217" i="8"/>
  <c r="Q217" i="8"/>
  <c r="R217" i="8"/>
  <c r="P218" i="8"/>
  <c r="Q218" i="8"/>
  <c r="R218" i="8"/>
  <c r="O214" i="8"/>
  <c r="O215" i="8"/>
  <c r="O216" i="8"/>
  <c r="O217" i="8"/>
  <c r="O2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tc={22A9A63C-060A-C043-892C-632D30E7F249}</author>
    <author>tc={5A32FE55-9B06-E142-BF22-E60CFDA1FFAA}</author>
    <author>tc={FD2FFC55-53A1-A844-9B07-A0C0B125CD22}</author>
    <author>tc={BC8725E3-681E-D441-9CC1-E62C795BDD92}</author>
    <author>tc={C0A3DA91-3464-0B48-A756-A07B82CF2A52}</author>
    <author>tc={B487A47A-71CE-E44B-8790-3E918128FAE3}</author>
    <author>tc={CE4DDCDE-9B32-2547-B98A-C31394C21A4D}</author>
    <author>tc={C5340D51-BA26-5142-B1B0-C44A75BA22EB}</author>
    <author>tc={8F51F65B-53CD-9043-A953-EF4DEDB9110D}</author>
    <author>tc={F86ED43A-C499-544F-8C4C-7BD3365AF172}</author>
    <author>tc={DCF1BC75-C471-8C4A-BA7A-E9D248FEE3B6}</author>
    <author>tc={9553DD5C-4D2C-0D4F-99F1-4E0814309AC8}</author>
    <author>tc={AEC29A94-D241-8047-9C94-5A9CF7B00523}</author>
    <author>tc={BAA4B0C0-DA0A-434F-B5AE-075B2B5BE548}</author>
    <author>tc={3CAFE147-C811-514E-B272-412B7057276D}</author>
    <author>tc={10951546-A007-9040-B160-A5EB45FB6A2A}</author>
    <author>tc={DBAD91DE-D97A-1C41-9C74-9EC725257DDA}</author>
    <author>tc={9482EBA8-1D61-594C-AAA9-CAF6841D9D04}</author>
    <author>tc={F725158B-41B9-A348-BEEB-AF2E4896B8A6}</author>
    <author>tc={A87EEAE7-675E-2E4D-A76A-DEBDF7C01D43}</author>
    <author>tc={8609A2CF-32AC-024B-A029-C7D5DC1AE15F}</author>
    <author>tc={FAA93D3B-DA2A-8749-BCEB-39C9C521D490}</author>
    <author>tc={29113861-83AA-184E-88DD-42BF11FD44D5}</author>
    <author>tc={948253AD-F392-F840-8B1E-02EE674EA20D}</author>
    <author>tc={61C2D5A8-218A-EB4B-B480-1AE992CF6885}</author>
    <author>tc={3C996814-4373-1844-B737-48CE79418048}</author>
    <author>tc={E0FBE236-7E73-954D-8D2E-4DCECAD0FBA4}</author>
    <author>tc={5B5F4068-77A0-3E46-870D-5DF9B19B3DB2}</author>
    <author>tc={897014C6-1E1F-3B49-BCE5-65E3D9578143}</author>
    <author>tc={81DF5B42-56BC-8549-BFEA-AF33F461F94B}</author>
    <author>tc={34DD7494-8A0B-584D-B6E9-59A73581540C}</author>
    <author>tc={2483D8AB-9755-BC48-88C7-EC6D77337CDA}</author>
    <author>tc={C38E1D45-0F44-2942-80C4-584705D66027}</author>
    <author>tc={66091BBD-ABAC-2443-991F-237F9AC17FBB}</author>
    <author>tc={4B3A4066-F5C8-2C46-B0B6-1ABAFA8F861E}</author>
    <author>tc={3BF02856-4EFF-FE48-82BC-2957B317D421}</author>
    <author>tc={6F905405-BC6D-9347-BCFB-2D514A0F7073}</author>
    <author>tc={7B6E5098-32B5-BE4A-8D2B-8E0117AD8DD2}</author>
    <author>tc={4032E708-7F2E-064E-88EC-1316F035EC7D}</author>
    <author>tc={EDA5D6E7-7CC2-4241-AAE0-586BC66C30BF}</author>
    <author>tc={989AD62D-09B7-DF43-909C-263A07304609}</author>
    <author>tc={622DC5D2-10AC-B843-9E38-E23B202B3789}</author>
    <author>tc={F8589429-9BF6-5343-A8EA-DB288666D3C2}</author>
    <author>tc={734EE5BF-B4E6-A744-B163-88E41D119B8C}</author>
    <author>tc={C6A8DBB2-EC47-A24C-A4D0-7CCEC92ED771}</author>
    <author>tc={CBA4EEC4-DB62-8548-B348-9F4CC92AF1AE}</author>
    <author>tc={1D2B0C59-55FF-C640-A419-7B5A841DC96E}</author>
    <author>tc={BBE2E634-DD61-5B4C-A872-A20B8B867556}</author>
    <author>tc={A5BF25A7-2551-9D4B-BFFE-DA330E0E1579}</author>
    <author>tc={D5D4BA57-1CEA-BB4A-BC16-FB1B65B536B9}</author>
    <author>tc={FF94A9FD-54CB-CA45-AC2B-4F9AEA319087}</author>
    <author>tc={B088327B-C51D-BC46-971F-6A0445DFB90A}</author>
    <author>tc={1A9C5AC6-5EC6-8341-B665-66F4F241FF16}</author>
    <author>tc={599004D0-FEF9-B548-BAB5-C836732CF9F5}</author>
    <author>tc={D8F397D2-A3E4-9B45-AE9A-E4C932BE0EBD}</author>
    <author>tc={3A3CCBAD-9944-1F42-B81D-BB1972FD5F96}</author>
    <author>tc={F9EA9DAE-4DF4-E040-8EB7-EFFD9561C303}</author>
    <author>tc={A4B41F83-3F4D-BC40-A1A0-C5882649E317}</author>
  </authors>
  <commentList>
    <comment ref="H3" authorId="0" shapeId="0" xr:uid="{22A9A63C-060A-C043-892C-632D30E7F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 buggy block - BPs are identical in buggy version</t>
      </text>
    </comment>
    <comment ref="I3" authorId="1" shapeId="0" xr:uid="{5A32FE55-9B06-E142-BF22-E60CFDA1F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 buggy block - BPs are identical in clean version</t>
      </text>
    </comment>
    <comment ref="J3" authorId="2" shapeId="0" xr:uid="{FD2FFC55-53A1-A844-9B07-A0C0B125CD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from 0</t>
      </text>
    </comment>
    <comment ref="I17" authorId="3" shapeId="0" xr:uid="{BC8725E3-681E-D441-9CC1-E62C795BDD92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18" authorId="4" shapeId="0" xr:uid="{C0A3DA91-3464-0B48-A756-A07B82CF2A52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19" authorId="5" shapeId="0" xr:uid="{B487A47A-71CE-E44B-8790-3E918128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21" authorId="6" shapeId="0" xr:uid="{CE4DDCDE-9B32-2547-B98A-C31394C21A4D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22" authorId="7" shapeId="0" xr:uid="{C5340D51-BA26-5142-B1B0-C44A75BA22E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30" authorId="8" shapeId="0" xr:uid="{8F51F65B-53CD-9043-A953-EF4DEDB9110D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conditional expressions</t>
      </text>
    </comment>
    <comment ref="I31" authorId="9" shapeId="0" xr:uid="{F86ED43A-C499-544F-8C4C-7BD3365AF1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loop condition</t>
      </text>
    </comment>
    <comment ref="I37" authorId="10" shapeId="0" xr:uid="{DCF1BC75-C471-8C4A-BA7A-E9D248FEE3B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38" authorId="11" shapeId="0" xr:uid="{9553DD5C-4D2C-0D4F-99F1-4E0814309AC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47" authorId="12" shapeId="0" xr:uid="{AEC29A94-D241-8047-9C94-5A9CF7B00523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49" authorId="13" shapeId="0" xr:uid="{BAA4B0C0-DA0A-434F-B5AE-075B2B5BE54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54" authorId="14" shapeId="0" xr:uid="{3CAFE147-C811-514E-B272-412B7057276D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loop condition</t>
      </text>
    </comment>
    <comment ref="I55" authorId="15" shapeId="0" xr:uid="{10951546-A007-9040-B160-A5EB45FB6A2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fix code effective, subsequent breakpoint will not be reached</t>
      </text>
    </comment>
    <comment ref="I56" authorId="16" shapeId="0" xr:uid="{DBAD91DE-D97A-1C41-9C74-9EC72525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conditional expressions</t>
      </text>
    </comment>
    <comment ref="I57" authorId="17" shapeId="0" xr:uid="{9482EBA8-1D61-594C-AAA9-CAF6841D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conditional expressions</t>
      </text>
    </comment>
    <comment ref="I58" authorId="18" shapeId="0" xr:uid="{F725158B-41B9-A348-BEEB-AF2E4896B8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loop condition</t>
      </text>
    </comment>
    <comment ref="I59" authorId="19" shapeId="0" xr:uid="{A87EEAE7-675E-2E4D-A76A-DEBDF7C01D43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loop condition</t>
      </text>
    </comment>
    <comment ref="H65" authorId="20" shapeId="0" xr:uid="{8609A2CF-32AC-024B-A029-C7D5DC1AE15F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return, buggy bp may nt be reached</t>
      </text>
    </comment>
    <comment ref="I68" authorId="21" shapeId="0" xr:uid="{FAA93D3B-DA2A-8749-BCEB-39C9C521D4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69" authorId="22" shapeId="0" xr:uid="{29113861-83AA-184E-88DD-42BF11FD4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0" authorId="23" shapeId="0" xr:uid="{948253AD-F392-F840-8B1E-02EE674EA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1" authorId="24" shapeId="0" xr:uid="{61C2D5A8-218A-EB4B-B480-1AE992CF68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2" authorId="25" shapeId="0" xr:uid="{3C996814-4373-1844-B737-48CE794180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3" authorId="26" shapeId="0" xr:uid="{E0FBE236-7E73-954D-8D2E-4DCECAD0FB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4" authorId="27" shapeId="0" xr:uid="{5B5F4068-77A0-3E46-870D-5DF9B19B3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6" authorId="28" shapeId="0" xr:uid="{897014C6-1E1F-3B49-BCE5-65E3D9578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7" authorId="29" shapeId="0" xr:uid="{81DF5B42-56BC-8549-BFEA-AF33F461F9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79" authorId="30" shapeId="0" xr:uid="{34DD7494-8A0B-584D-B6E9-59A7358154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0" authorId="31" shapeId="0" xr:uid="{2483D8AB-9755-BC48-88C7-EC6D77337C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1" authorId="32" shapeId="0" xr:uid="{C38E1D45-0F44-2942-80C4-584705D660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3" authorId="33" shapeId="0" xr:uid="{66091BBD-ABAC-2443-991F-237F9AC17F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5" authorId="34" shapeId="0" xr:uid="{4B3A4066-F5C8-2C46-B0B6-1ABAFA8F86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7" authorId="35" shapeId="0" xr:uid="{3BF02856-4EFF-FE48-82BC-2957B317D4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88" authorId="36" shapeId="0" xr:uid="{6F905405-BC6D-9347-BCFB-2D514A0F7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91" authorId="37" shapeId="0" xr:uid="{7B6E5098-32B5-BE4A-8D2B-8E0117AD8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93" authorId="38" shapeId="0" xr:uid="{4032E708-7F2E-064E-88EC-1316F035EC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N103" authorId="39" shapeId="0" xr:uid="{EDA5D6E7-7CC2-4241-AAE0-586BC66C30BF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small signal</t>
      </text>
    </comment>
    <comment ref="I109" authorId="40" shapeId="0" xr:uid="{989AD62D-09B7-DF43-909C-263A07304609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conditional expressions</t>
      </text>
    </comment>
    <comment ref="J109" authorId="41" shapeId="0" xr:uid="{622DC5D2-10AC-B843-9E38-E23B202B37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shifted because of extra breakpoint in another test case. </t>
      </text>
    </comment>
    <comment ref="I110" authorId="42" shapeId="0" xr:uid="{F8589429-9BF6-5343-A8EA-DB288666D3C2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conditional expressions</t>
      </text>
    </comment>
    <comment ref="I113" authorId="43" shapeId="0" xr:uid="{734EE5BF-B4E6-A744-B163-88E41D119B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K113" authorId="44" shapeId="0" xr:uid="{C6A8DBB2-EC47-A24C-A4D0-7CCEC92ED771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because of extra breakpoint, two exit points</t>
      </text>
    </comment>
    <comment ref="I114" authorId="45" shapeId="0" xr:uid="{CBA4EEC4-DB62-8548-B348-9F4CC92AF1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K114" authorId="46" shapeId="0" xr:uid="{1D2B0C59-55FF-C640-A419-7B5A841D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because of extra breakpoint, two exit points</t>
      </text>
    </comment>
    <comment ref="I120" authorId="47" shapeId="0" xr:uid="{BBE2E634-DD61-5B4C-A872-A20B8B8675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33" authorId="48" shapeId="0" xr:uid="{A5BF25A7-2551-9D4B-BFFE-DA330E0E15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35" authorId="49" shapeId="0" xr:uid="{D5D4BA57-1CEA-BB4A-BC16-FB1B65B536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44" authorId="50" shapeId="0" xr:uid="{FF94A9FD-54CB-CA45-AC2B-4F9AEA319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K148" authorId="51" shapeId="0" xr:uid="{B088327B-C51D-BC46-971F-6A0445DFB90A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because of extra breakpoint, two exit points</t>
      </text>
    </comment>
    <comment ref="I151" authorId="52" shapeId="0" xr:uid="{1A9C5AC6-5EC6-8341-B665-66F4F241FF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70" authorId="53" shapeId="0" xr:uid="{599004D0-FEF9-B548-BAB5-C836732CF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71" authorId="54" shapeId="0" xr:uid="{D8F397D2-A3E4-9B45-AE9A-E4C932BE0E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73" authorId="55" shapeId="0" xr:uid="{3A3CCBAD-9944-1F42-B81D-BB1972FD5F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74" authorId="56" shapeId="0" xr:uid="{F9EA9DAE-4DF4-E040-8EB7-EFFD9561C3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  <comment ref="I175" authorId="57" shapeId="0" xr:uid="{A4B41F83-3F4D-BC40-A1A0-C5882649E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early return
</t>
      </text>
    </comment>
  </commentList>
</comments>
</file>

<file path=xl/sharedStrings.xml><?xml version="1.0" encoding="utf-8"?>
<sst xmlns="http://schemas.openxmlformats.org/spreadsheetml/2006/main" count="1217" uniqueCount="501">
  <si>
    <t>dice</t>
  </si>
  <si>
    <t>hamming</t>
  </si>
  <si>
    <t>jaccard</t>
  </si>
  <si>
    <t>overlap</t>
  </si>
  <si>
    <t>libfuzzer</t>
  </si>
  <si>
    <t>aflplusplus</t>
  </si>
  <si>
    <t>honggfuzz</t>
  </si>
  <si>
    <t>Bug</t>
  </si>
  <si>
    <t>Identifier</t>
  </si>
  <si>
    <t>Project</t>
  </si>
  <si>
    <t>PNG001</t>
  </si>
  <si>
    <t>CVE-2018-13785</t>
  </si>
  <si>
    <t>libpng</t>
  </si>
  <si>
    <t>PNG002</t>
  </si>
  <si>
    <t>CVE-2019-7317</t>
  </si>
  <si>
    <t>PNG003</t>
  </si>
  <si>
    <t>CVE-2015-8472</t>
  </si>
  <si>
    <t>PNG004</t>
  </si>
  <si>
    <t>CVE-2015-0973</t>
  </si>
  <si>
    <t>PNG005</t>
  </si>
  <si>
    <t>CVE-2014-9495</t>
  </si>
  <si>
    <t>PNG006</t>
  </si>
  <si>
    <t>N/A</t>
  </si>
  <si>
    <t>PNG007</t>
  </si>
  <si>
    <t>CVE-2013-6954</t>
  </si>
  <si>
    <t>SND001</t>
  </si>
  <si>
    <t>CVE-2011-2696</t>
  </si>
  <si>
    <t>libsndfile</t>
  </si>
  <si>
    <t>SND002</t>
  </si>
  <si>
    <t>CVE-2014-9496</t>
  </si>
  <si>
    <t>SND004</t>
  </si>
  <si>
    <t>CVE-2014-9756</t>
  </si>
  <si>
    <t>SND005</t>
  </si>
  <si>
    <t>CVE-2017-6892</t>
  </si>
  <si>
    <t>SND006</t>
  </si>
  <si>
    <t>CVE-2017-8361</t>
  </si>
  <si>
    <t>SND007</t>
  </si>
  <si>
    <t>CVE-2017-8363</t>
  </si>
  <si>
    <t>SND010</t>
  </si>
  <si>
    <t>CVE-2017-12562</t>
  </si>
  <si>
    <t>SND012</t>
  </si>
  <si>
    <t>SND013</t>
  </si>
  <si>
    <t>SND014</t>
  </si>
  <si>
    <t>CVE-2017-14245</t>
  </si>
  <si>
    <t>SND015</t>
  </si>
  <si>
    <t>CVE-2018-19662</t>
  </si>
  <si>
    <t>SND016</t>
  </si>
  <si>
    <t>CVE-2017-14634</t>
  </si>
  <si>
    <t>SND017</t>
  </si>
  <si>
    <t>Commit a8ab5b3</t>
  </si>
  <si>
    <t>SND020</t>
  </si>
  <si>
    <t>SND022</t>
  </si>
  <si>
    <t>CVE-2017-14246</t>
  </si>
  <si>
    <t>SND023</t>
  </si>
  <si>
    <t>CVE-2018-19661</t>
  </si>
  <si>
    <t>SND024</t>
  </si>
  <si>
    <t>SND025</t>
  </si>
  <si>
    <t>CVE-2018-19758</t>
  </si>
  <si>
    <t>TIF001</t>
  </si>
  <si>
    <t>CVE-2016-9535</t>
  </si>
  <si>
    <t>libtiff</t>
  </si>
  <si>
    <t>TIF002</t>
  </si>
  <si>
    <t>CVE-2016-5314</t>
  </si>
  <si>
    <t>TIF003</t>
  </si>
  <si>
    <t>CVE-2016-10266</t>
  </si>
  <si>
    <t>TIF004</t>
  </si>
  <si>
    <t>CVE-2016-10267</t>
  </si>
  <si>
    <t>TIF005</t>
  </si>
  <si>
    <t>CVE-2016-10269</t>
  </si>
  <si>
    <t>TIF006</t>
  </si>
  <si>
    <t>TIF007</t>
  </si>
  <si>
    <t>CVE-2016-10270</t>
  </si>
  <si>
    <t>TIF008</t>
  </si>
  <si>
    <t>CVE-2015-8784</t>
  </si>
  <si>
    <t>TIF009</t>
  </si>
  <si>
    <t>CVE-2019-7663</t>
  </si>
  <si>
    <t>TIF010</t>
  </si>
  <si>
    <t>CVE-2018-8905</t>
  </si>
  <si>
    <t>TIF011</t>
  </si>
  <si>
    <t>CVE-2018-7456</t>
  </si>
  <si>
    <t>TIF012</t>
  </si>
  <si>
    <t>CVE-2016-3658</t>
  </si>
  <si>
    <t>TIF013</t>
  </si>
  <si>
    <t>CVE-2018-18557</t>
  </si>
  <si>
    <t>TIF014</t>
  </si>
  <si>
    <t>CVE-2017-11613</t>
  </si>
  <si>
    <t>XML001</t>
  </si>
  <si>
    <t>CVE-2017-9047</t>
  </si>
  <si>
    <t>libxml2</t>
  </si>
  <si>
    <t>XML002</t>
  </si>
  <si>
    <t>CVE-2017-0663</t>
  </si>
  <si>
    <t>XML003</t>
  </si>
  <si>
    <t>CVE-2017-7375</t>
  </si>
  <si>
    <t>XML004</t>
  </si>
  <si>
    <t>CVE-2018-14567</t>
  </si>
  <si>
    <t>XML005</t>
  </si>
  <si>
    <t>CVE-2017-5130</t>
  </si>
  <si>
    <t>XML006</t>
  </si>
  <si>
    <t>CVE-2017-9048</t>
  </si>
  <si>
    <t>XML007</t>
  </si>
  <si>
    <t>CVE-2017-8872</t>
  </si>
  <si>
    <t>XML008</t>
  </si>
  <si>
    <t>Issue #58</t>
  </si>
  <si>
    <t>XML009</t>
  </si>
  <si>
    <t>CVE-2015-8317</t>
  </si>
  <si>
    <t>XML010</t>
  </si>
  <si>
    <t>CVE-2016-4449</t>
  </si>
  <si>
    <t>XML011</t>
  </si>
  <si>
    <t>CVE-2016-1834</t>
  </si>
  <si>
    <t>XML012</t>
  </si>
  <si>
    <t>CVE-2016-1836</t>
  </si>
  <si>
    <t>XML013</t>
  </si>
  <si>
    <t>CVE-2016-1837</t>
  </si>
  <si>
    <t>XML014</t>
  </si>
  <si>
    <t>CVE-2016-1839</t>
  </si>
  <si>
    <t>XML015</t>
  </si>
  <si>
    <t>Bug #758518</t>
  </si>
  <si>
    <t>XML016</t>
  </si>
  <si>
    <t>CVE-2016-1840</t>
  </si>
  <si>
    <t>XML017</t>
  </si>
  <si>
    <t>CVE-2016-1762</t>
  </si>
  <si>
    <t>LUA001</t>
  </si>
  <si>
    <t>CVE-2020-24370</t>
  </si>
  <si>
    <t>lua</t>
  </si>
  <si>
    <t>LUA002</t>
  </si>
  <si>
    <t>CVE-2020-24369</t>
  </si>
  <si>
    <t>LUA003</t>
  </si>
  <si>
    <t>Commit 1ecfbfa</t>
  </si>
  <si>
    <t>LUA004</t>
  </si>
  <si>
    <t>CVE-2020-15945</t>
  </si>
  <si>
    <t>SSL001</t>
  </si>
  <si>
    <t>CVE-2016-2108</t>
  </si>
  <si>
    <t>openssl</t>
  </si>
  <si>
    <t>SSL002</t>
  </si>
  <si>
    <t>CVE-2016-6309</t>
  </si>
  <si>
    <t>SSL003</t>
  </si>
  <si>
    <t>CVE-2016-2109</t>
  </si>
  <si>
    <t>SSL004</t>
  </si>
  <si>
    <t>CVE-2016-2176</t>
  </si>
  <si>
    <t>SSL005</t>
  </si>
  <si>
    <t>CVE-2016-6304</t>
  </si>
  <si>
    <t>SSL006</t>
  </si>
  <si>
    <t>CVE-2016-2105</t>
  </si>
  <si>
    <t>SSL007</t>
  </si>
  <si>
    <t>CVE-2016-6303</t>
  </si>
  <si>
    <t>SSL008</t>
  </si>
  <si>
    <t>CVE-2017-3730</t>
  </si>
  <si>
    <t>SSL009</t>
  </si>
  <si>
    <t>CVE-2017-3735</t>
  </si>
  <si>
    <t>SSL010</t>
  </si>
  <si>
    <t>CVE-2016-0797</t>
  </si>
  <si>
    <t>SSL011</t>
  </si>
  <si>
    <t>CVE-2015-1790</t>
  </si>
  <si>
    <t>SSL012</t>
  </si>
  <si>
    <t>CVE-2015-0288</t>
  </si>
  <si>
    <t>SSL013</t>
  </si>
  <si>
    <t>CVE-2015-0208</t>
  </si>
  <si>
    <t>SSL014</t>
  </si>
  <si>
    <t>CVE-2015-0286</t>
  </si>
  <si>
    <t>SSL015</t>
  </si>
  <si>
    <t>CVE-2015-0289</t>
  </si>
  <si>
    <t>SSL016</t>
  </si>
  <si>
    <t>CVE-2015-1788</t>
  </si>
  <si>
    <t>SSL017</t>
  </si>
  <si>
    <t>CVE-2016-7052</t>
  </si>
  <si>
    <t>SSL018</t>
  </si>
  <si>
    <t>CVE-2016-6308</t>
  </si>
  <si>
    <t>SSL019</t>
  </si>
  <si>
    <t>CVE-2016-6305</t>
  </si>
  <si>
    <t>SSL020</t>
  </si>
  <si>
    <t>CVE-2016-6302</t>
  </si>
  <si>
    <t>PHP001</t>
  </si>
  <si>
    <t>CVE-2019-9021</t>
  </si>
  <si>
    <t>php</t>
  </si>
  <si>
    <t>PHP002</t>
  </si>
  <si>
    <t>CVE-2019-9641</t>
  </si>
  <si>
    <t>PHP003</t>
  </si>
  <si>
    <t>CVE-2019-11041</t>
  </si>
  <si>
    <t>PHP004</t>
  </si>
  <si>
    <t>CVE-2019-11034</t>
  </si>
  <si>
    <t>PHP005</t>
  </si>
  <si>
    <t>CVE-2019-11039</t>
  </si>
  <si>
    <t>PHP006</t>
  </si>
  <si>
    <t>CVE-2019-11040</t>
  </si>
  <si>
    <t>PHP007</t>
  </si>
  <si>
    <t>CVE-2018-20783</t>
  </si>
  <si>
    <t>PHP008</t>
  </si>
  <si>
    <t>CVE-2019-9022</t>
  </si>
  <si>
    <t>PHP009</t>
  </si>
  <si>
    <t>CVE-2019-9638</t>
  </si>
  <si>
    <t>PHP010</t>
  </si>
  <si>
    <t>CVE-2019-9640</t>
  </si>
  <si>
    <t>PHP011</t>
  </si>
  <si>
    <t>CVE-2018-14883</t>
  </si>
  <si>
    <t>PHP012</t>
  </si>
  <si>
    <t>CVE-2018-7584</t>
  </si>
  <si>
    <t>PHP013</t>
  </si>
  <si>
    <t>CVE-2017-11362</t>
  </si>
  <si>
    <t>PHP014</t>
  </si>
  <si>
    <t>CVE-2014-9912</t>
  </si>
  <si>
    <t>PHP015</t>
  </si>
  <si>
    <t>CVE-2016-10159</t>
  </si>
  <si>
    <t>PHP016</t>
  </si>
  <si>
    <t>CVE-2016-7414</t>
  </si>
  <si>
    <t>PDF001</t>
  </si>
  <si>
    <t>CVE-2019-14494</t>
  </si>
  <si>
    <t>poppler</t>
  </si>
  <si>
    <t>PDF002</t>
  </si>
  <si>
    <t>CVE-2019-9959</t>
  </si>
  <si>
    <t>PDF003</t>
  </si>
  <si>
    <t>CVE-2017-9865</t>
  </si>
  <si>
    <t>PDF004</t>
  </si>
  <si>
    <t>CVE-2019-10873</t>
  </si>
  <si>
    <t>PDF005</t>
  </si>
  <si>
    <t>CVE-2019-12293</t>
  </si>
  <si>
    <t>PDF006</t>
  </si>
  <si>
    <t>CVE-2019-10872</t>
  </si>
  <si>
    <t>PDF007</t>
  </si>
  <si>
    <t>CVE-2019-9200</t>
  </si>
  <si>
    <t>PDF008</t>
  </si>
  <si>
    <t>Bug #106061</t>
  </si>
  <si>
    <t>PDF009</t>
  </si>
  <si>
    <t>ossfuzz/8499</t>
  </si>
  <si>
    <t>PDF010</t>
  </si>
  <si>
    <t>Bug #101366</t>
  </si>
  <si>
    <t>PDF011</t>
  </si>
  <si>
    <t>CVE-2019-7310</t>
  </si>
  <si>
    <t>PDF012</t>
  </si>
  <si>
    <t>CVE-2018-21009</t>
  </si>
  <si>
    <t>PDF013</t>
  </si>
  <si>
    <t>CVE-2018-20650</t>
  </si>
  <si>
    <t>PDF014</t>
  </si>
  <si>
    <t>CVE-2018-20481</t>
  </si>
  <si>
    <t>PDF015</t>
  </si>
  <si>
    <t>CVE-2018-19058</t>
  </si>
  <si>
    <t>PDF016</t>
  </si>
  <si>
    <t>CVE-2018-13988</t>
  </si>
  <si>
    <t>PDF017</t>
  </si>
  <si>
    <t>CVE-2019-12360</t>
  </si>
  <si>
    <t>PDF018</t>
  </si>
  <si>
    <t>CVE-2018-10768</t>
  </si>
  <si>
    <t>PDF019</t>
  </si>
  <si>
    <t>CVE-2017-9776</t>
  </si>
  <si>
    <t>PDF020</t>
  </si>
  <si>
    <t>CVE-2017-18267</t>
  </si>
  <si>
    <t>PDF021</t>
  </si>
  <si>
    <t>CVE-2017-14617</t>
  </si>
  <si>
    <t>PDF022</t>
  </si>
  <si>
    <t>CVE-2019-12493</t>
  </si>
  <si>
    <t>SQL001</t>
  </si>
  <si>
    <t>CVE-2019-9936</t>
  </si>
  <si>
    <t>sqlite</t>
  </si>
  <si>
    <t>SQL002</t>
  </si>
  <si>
    <t>CVE-2019-20218</t>
  </si>
  <si>
    <t>SQL003</t>
  </si>
  <si>
    <t>CVE-2019-19923</t>
  </si>
  <si>
    <t>SQL004</t>
  </si>
  <si>
    <t>CVE-2019-19959</t>
  </si>
  <si>
    <t>SQL005</t>
  </si>
  <si>
    <t>CVE-2019-19925</t>
  </si>
  <si>
    <t>SQL006</t>
  </si>
  <si>
    <t>CVE-2019-19244</t>
  </si>
  <si>
    <t>SQL007</t>
  </si>
  <si>
    <t>CVE-2018-8740</t>
  </si>
  <si>
    <t>SQL008</t>
  </si>
  <si>
    <t>CVE-2017-15286</t>
  </si>
  <si>
    <t>SQL009</t>
  </si>
  <si>
    <t>CVE-2017-2520</t>
  </si>
  <si>
    <t>SQL010</t>
  </si>
  <si>
    <t>CVE-2017-2518</t>
  </si>
  <si>
    <t>SQL011</t>
  </si>
  <si>
    <t>CVE-2017-10989</t>
  </si>
  <si>
    <t>SQL012</t>
  </si>
  <si>
    <t>CVE-2019-19646</t>
  </si>
  <si>
    <t>SQL013</t>
  </si>
  <si>
    <t>CVE-2013-7443</t>
  </si>
  <si>
    <t>SQL014</t>
  </si>
  <si>
    <t>CVE-2019-19926</t>
  </si>
  <si>
    <t>SQL015</t>
  </si>
  <si>
    <t>CVE-2019-19317</t>
  </si>
  <si>
    <t>SQL016</t>
  </si>
  <si>
    <t>CVE-2015-3415</t>
  </si>
  <si>
    <t>SQL017</t>
  </si>
  <si>
    <t>CVE-2020-9327</t>
  </si>
  <si>
    <t>SQL018</t>
  </si>
  <si>
    <t>CVE-2015-3414</t>
  </si>
  <si>
    <t>SQL019</t>
  </si>
  <si>
    <t>CVE-2015-3416</t>
  </si>
  <si>
    <t>SQL020</t>
  </si>
  <si>
    <t>CVE-2019-19880</t>
  </si>
  <si>
    <t>"pngrutil.c","3176"</t>
  </si>
  <si>
    <t>bp_pair_first_line</t>
  </si>
  <si>
    <t>"png.c","4584"</t>
  </si>
  <si>
    <t>"png.c","4604"</t>
  </si>
  <si>
    <t>"png.h","2972"</t>
  </si>
  <si>
    <t>"pngrutil.c","986"</t>
  </si>
  <si>
    <t>"pngset.c","586"</t>
  </si>
  <si>
    <t>"pngrutil.c","3229"</t>
  </si>
  <si>
    <t>"pngrutil.c","3703"</t>
  </si>
  <si>
    <t>"pngrutil.c","3515"</t>
  </si>
  <si>
    <t>"png.c","2588"</t>
  </si>
  <si>
    <t>"pngrutil.c","2068"</t>
  </si>
  <si>
    <t>pngrtran.c,"1962"</t>
  </si>
  <si>
    <t>"pngset.c","612"</t>
  </si>
  <si>
    <t>"src/paf.c","201"</t>
  </si>
  <si>
    <t>"src/sd2.c","460"</t>
  </si>
  <si>
    <t>"src/file_io.c","389"</t>
  </si>
  <si>
    <t>"src/aiff.c","1777"</t>
  </si>
  <si>
    <t>"src/flac.c","172"</t>
  </si>
  <si>
    <t>"src/flac.c","466"</t>
  </si>
  <si>
    <t>"src/flac.c","451"</t>
  </si>
  <si>
    <t>"src/common.c","698"</t>
  </si>
  <si>
    <t>bp_pair_second</t>
  </si>
  <si>
    <t>bp_pair_first</t>
  </si>
  <si>
    <t>"src/alaw.c","331"</t>
  </si>
  <si>
    <t>"src/alaw.c","363"</t>
  </si>
  <si>
    <t>"src/double64.c","94"</t>
  </si>
  <si>
    <t>"src/wavlike.c","338"</t>
  </si>
  <si>
    <t>"src/wavlike.c","362"</t>
  </si>
  <si>
    <t>"src/ulaw.c","832"</t>
  </si>
  <si>
    <t>"src/ulaw.c","864"</t>
  </si>
  <si>
    <t>"src/wav.c","1154"</t>
  </si>
  <si>
    <t>bug_bp_count</t>
  </si>
  <si>
    <t>"src/common.c","781"</t>
  </si>
  <si>
    <t>"src/common.c","741"</t>
  </si>
  <si>
    <t>"src/common.c","756"</t>
  </si>
  <si>
    <t>"src/common.c","765"</t>
  </si>
  <si>
    <t>"libtiff/tif_predict.c","285"</t>
  </si>
  <si>
    <t>"libtiff/tif_predict.c","361"</t>
  </si>
  <si>
    <t>"libtiff/tif_predict.c","403"</t>
  </si>
  <si>
    <t>"libtiff/tif_predict.c","440"</t>
  </si>
  <si>
    <t>"libtiff/tif_predict.c","517"</t>
  </si>
  <si>
    <t>"libtiff/tif_predict.c","551"</t>
  </si>
  <si>
    <t>"libtiff/tif_predict.c","613"</t>
  </si>
  <si>
    <t>"libtiff/tif_predict.c","660"</t>
  </si>
  <si>
    <t>"libtiff/tif_predict.c","712"</t>
  </si>
  <si>
    <t>"libtiff/tif_predict.c","797"</t>
  </si>
  <si>
    <t>"libtiff/tif_pixarlog.c","801"</t>
  </si>
  <si>
    <t>"libtiff/tif_pixarlog.c","1271"</t>
  </si>
  <si>
    <t>"libtiff/tif_read.c","487"</t>
  </si>
  <si>
    <t>"libtiff/tif_ojpeg.c","793"</t>
  </si>
  <si>
    <t>"libtiff/tif_luv.c","1569"</t>
  </si>
  <si>
    <t>"libtiff/tif_dirread.c","5882"</t>
  </si>
  <si>
    <t>"libtiff/tif_dirread.c","5963"</t>
  </si>
  <si>
    <t>"libtiff/tif_dirread.c","5980"</t>
  </si>
  <si>
    <t>"libtiff/tif_next.c","125"</t>
  </si>
  <si>
    <t>"libtiff/tif_next.c","140"</t>
  </si>
  <si>
    <t>"libtiff/tif_dirwrite.c","2107"</t>
  </si>
  <si>
    <t>"libtiff/tif_dirwrite.c","2122"</t>
  </si>
  <si>
    <t>"libtiff/tif_lzw.c","757"</t>
  </si>
  <si>
    <t>"libtiff/tif_print.c","542"</t>
  </si>
  <si>
    <t>"libtiff/tif_dir.c","121"</t>
  </si>
  <si>
    <t>"libtiff/tif_dir.c","281"</t>
  </si>
  <si>
    <t>"libtiff/tif_jbig.c","109"</t>
  </si>
  <si>
    <t>"valid.c","1313"</t>
  </si>
  <si>
    <t>"valid.c","1326"</t>
  </si>
  <si>
    <t>"valid.c","1338"</t>
  </si>
  <si>
    <t>"valid.c","1395"</t>
  </si>
  <si>
    <t>"valid.c","4735"</t>
  </si>
  <si>
    <t>"parser.c","2762"</t>
  </si>
  <si>
    <t>"parser.c","3463"</t>
  </si>
  <si>
    <t>"parser.c","5051"</t>
  </si>
  <si>
    <t>"parser.c","8029"</t>
  </si>
  <si>
    <t>"parser.c","8444"</t>
  </si>
  <si>
    <t>"parser.c","10498"</t>
  </si>
  <si>
    <t>"parser.c","12635"</t>
  </si>
  <si>
    <t>"xzlib.c","594"</t>
  </si>
  <si>
    <t>"xmlmemory.c","175"</t>
  </si>
  <si>
    <t>"xmlmemory.c","258"</t>
  </si>
  <si>
    <t>"xmlmemory.c","376"</t>
  </si>
  <si>
    <t>"xmlmemory.c","537"</t>
  </si>
  <si>
    <t>"xmlstring.c","463"</t>
  </si>
  <si>
    <t>"xmlstring.c","504"</t>
  </si>
  <si>
    <t>"xmlstring.c","517"</t>
  </si>
  <si>
    <t>"HTMLparser.c","2654"</t>
  </si>
  <si>
    <t>"HTMLparser.c","2706"</t>
  </si>
  <si>
    <t>"HTMLparser.c","2994"</t>
  </si>
  <si>
    <t>"HTMLparser.c","3017"</t>
  </si>
  <si>
    <t>"HTMLparser.c","3065"</t>
  </si>
  <si>
    <t>"HTMLparser.c","3088"</t>
  </si>
  <si>
    <t>"xmlregexp.c","5140"</t>
  </si>
  <si>
    <t>"xmlregexp.c","5153"</t>
  </si>
  <si>
    <t>"crypto/asn1/a_int.c","142"</t>
  </si>
  <si>
    <t>"ssl/statem/statem.c","515"</t>
  </si>
  <si>
    <t>"crypto/asn1/a_d2i_fp.c","192"</t>
  </si>
  <si>
    <t>"crypto/x509/x509_obj.c","86"</t>
  </si>
  <si>
    <t>"ssl/statem/extensions_srvr.c","332"</t>
  </si>
  <si>
    <t>"crypto/evp/encode.c","172"</t>
  </si>
  <si>
    <t>"crypto/mdc2/mdc2dgst.c","51"</t>
  </si>
  <si>
    <t>"ssl/statem/statem_clnt.c","2917"</t>
  </si>
  <si>
    <t>"ssl/statem/statem_clnt.c","2985"</t>
  </si>
  <si>
    <t>"crypto/x509/v3_addr.c","88"</t>
  </si>
  <si>
    <t>"crypto/bn/bn_local.h","666"</t>
  </si>
  <si>
    <t>"crypto/pkcs7/pk7_doit.c","220"</t>
  </si>
  <si>
    <t>"crypto/pkcs7/pk7_doit.c","421"</t>
  </si>
  <si>
    <t>"crypto/pkcs7/pk7_doit.c","511"</t>
  </si>
  <si>
    <t>"crypto/pkcs7/pk7_doit.c","662"</t>
  </si>
  <si>
    <t>"crypto/pkcs7/pk7_doit.c","760"</t>
  </si>
  <si>
    <t>"crypto/pkcs7/pk7_doit.c","997"</t>
  </si>
  <si>
    <t>"crypto/x509/x509_req.c","47"</t>
  </si>
  <si>
    <t>"crypto/rsa/rsa_ameth.c","620"</t>
  </si>
  <si>
    <t>"crypto/asn1/a_type.c","70"</t>
  </si>
  <si>
    <t>"crypto/bn/bn_gf2m.c","673"</t>
  </si>
  <si>
    <t>"crypto/x509/x509_vfy.c","1072"</t>
  </si>
  <si>
    <t>"crypto/x509/x509_vfy.c","1081"</t>
  </si>
  <si>
    <t>"ssl/statem/statem_dtls.c","447"</t>
  </si>
  <si>
    <t>"ssl/record/rec_layer_s3.c","1457"</t>
  </si>
  <si>
    <t>"ssl/t1_lib.c","1895"</t>
  </si>
  <si>
    <t>"ext/phar/phar.c","2135"</t>
  </si>
  <si>
    <t>"ext/phar/phar.c","805"</t>
  </si>
  <si>
    <t>"ext/phar/phar.c","842"</t>
  </si>
  <si>
    <t>"ext/phar/phar.c","1060"</t>
  </si>
  <si>
    <t>"ext/phar/phar.c","1073"</t>
  </si>
  <si>
    <t>"ext/phar/phar.c","1118"</t>
  </si>
  <si>
    <t>"ext/phar/phar.c","1133"</t>
  </si>
  <si>
    <t>"ext/phar/phar.c","1147"</t>
  </si>
  <si>
    <t>"ext/phar/phar.c","1185"</t>
  </si>
  <si>
    <t>"ext/phar/phar.c","1211"</t>
  </si>
  <si>
    <t>"ext/exif/exif.c","2057"</t>
  </si>
  <si>
    <t>"ext/exif/exif.c","3184"</t>
  </si>
  <si>
    <t>"ext/exif/exif.c","3241"</t>
  </si>
  <si>
    <t>"ext/exif/exif.c","3987"</t>
  </si>
  <si>
    <t>"ext/exif/exif.c","4026"</t>
  </si>
  <si>
    <t>"ext/exif/exif.c","4037"</t>
  </si>
  <si>
    <t>"ext/exif/exif.c","4069"</t>
  </si>
  <si>
    <t>"ext/exif/exif.c","4116"</t>
  </si>
  <si>
    <t>"ext/exif/exif.c","4843"</t>
  </si>
  <si>
    <t>"ext/iconv/iconv.c","1374"</t>
  </si>
  <si>
    <t>"ext/standard/dns.c","584"</t>
  </si>
  <si>
    <t>"ext/standard/http_fopen_wrapper.c","711"</t>
  </si>
  <si>
    <t>"ext/intl/msgformat/msgformat_parse.c","96"</t>
  </si>
  <si>
    <t>"ext/intl/locale/locale_methods.c","487"</t>
  </si>
  <si>
    <t>"ext/phar/zip.c","450"</t>
  </si>
  <si>
    <t>"ext/phar/util.c","1606"</t>
  </si>
  <si>
    <t>"ext/phar/util.c","1653"</t>
  </si>
  <si>
    <t>"ext/phar/util.c","1700"</t>
  </si>
  <si>
    <t>"ext/phar/util.c","1747"</t>
  </si>
  <si>
    <t>"poppler/SplashOutputDev.cc","2456"</t>
  </si>
  <si>
    <t>"poppler/SplashOutputDev.cc","4292"</t>
  </si>
  <si>
    <t>"poppler/JPEG2000Stream.cc","250"</t>
  </si>
  <si>
    <t>"poppler/JPEG2000Stream.cc","306"</t>
  </si>
  <si>
    <t>"utils/HtmlOutputDev.cc","1399"</t>
  </si>
  <si>
    <t>"utils/ImageOutputDev.cc","359"</t>
  </si>
  <si>
    <t>"splash/SplashXPathScanner.cc","449"</t>
  </si>
  <si>
    <t>"splash/Splash.cc","5669"</t>
  </si>
  <si>
    <t>"poppler/Stream.cc","586"</t>
  </si>
  <si>
    <t>"poppler/Stream.cc","607"</t>
  </si>
  <si>
    <t>"poppler/Stream.cc","665"</t>
  </si>
  <si>
    <t>"poppler/GfxState.cc","4832"</t>
  </si>
  <si>
    <t>"poppler/GfxState.cc","2668"</t>
  </si>
  <si>
    <t>"poppler/GfxState.cc","2697"</t>
  </si>
  <si>
    <t>"poppler/GfxState.cc","2734"</t>
  </si>
  <si>
    <t>"poppler/Parser.cc","184"</t>
  </si>
  <si>
    <t>"poppler/Parser.cc","283"</t>
  </si>
  <si>
    <t>"poppler/Parser.cc","314"</t>
  </si>
  <si>
    <t>"poppler/XRef.cc","1671"</t>
  </si>
  <si>
    <t>"poppler/XRef.cc","1685"</t>
  </si>
  <si>
    <t>"poppler/FileSpec.cc","102"</t>
  </si>
  <si>
    <t>"poppler/FileSpec.cc","148"</t>
  </si>
  <si>
    <t>"fofi/FoFiTrueType.cc","1400"</t>
  </si>
  <si>
    <t>"fofi/FoFiTrueType.cc","1414"</t>
  </si>
  <si>
    <t>"poppler/Annot.cc","6051"</t>
  </si>
  <si>
    <t>"poppler/JBIG2Stream.cc","811"</t>
  </si>
  <si>
    <t>"fofi/FoFiType1C.cc","1288"</t>
  </si>
  <si>
    <t>"fofi/FoFiType1C.cc","1534"</t>
  </si>
  <si>
    <t>"ldebug.c","193"</t>
  </si>
  <si>
    <t>"liolib.c","294"</t>
  </si>
  <si>
    <t>"lvm.c","1822"</t>
  </si>
  <si>
    <t>"lstate.c","265"</t>
  </si>
  <si>
    <t>"ldo.c","371"</t>
  </si>
  <si>
    <t>"ldo.c","386"</t>
  </si>
  <si>
    <t>"ldebug.c","136"</t>
  </si>
  <si>
    <t>"ldebug.c","847"</t>
  </si>
  <si>
    <t>"ldebug.c","890"</t>
  </si>
  <si>
    <t>"ldebug.c","916"</t>
  </si>
  <si>
    <t>"ldebug.c","925"</t>
  </si>
  <si>
    <t>"ldebug.c","941"</t>
  </si>
  <si>
    <t>Magma_24h_Triggered</t>
  </si>
  <si>
    <t>Magma_7d_Triggered</t>
  </si>
  <si>
    <t>covered</t>
  </si>
  <si>
    <t>partial</t>
  </si>
  <si>
    <t>parital</t>
  </si>
  <si>
    <t>A</t>
  </si>
  <si>
    <t>B</t>
  </si>
  <si>
    <t>preceding  ⬇️ subsequent ⬆️</t>
  </si>
  <si>
    <t>C</t>
  </si>
  <si>
    <t>E</t>
  </si>
  <si>
    <t>D</t>
  </si>
  <si>
    <t>Zero -&gt; Non-zero</t>
  </si>
  <si>
    <t>Lower -&gt; Higher (mode)</t>
  </si>
  <si>
    <t>Lower -&gt; Higher (max(Xpeak))</t>
  </si>
  <si>
    <t>Higher -&gt; Lower</t>
  </si>
  <si>
    <t>Equal (inconclusive)</t>
  </si>
  <si>
    <t>flag_control</t>
  </si>
  <si>
    <t>flag_exposed</t>
  </si>
  <si>
    <t>same_bp_clean</t>
  </si>
  <si>
    <t>same_bp_buggy</t>
  </si>
  <si>
    <t>KDE Maxima</t>
  </si>
  <si>
    <t>same bp in buggy</t>
  </si>
  <si>
    <t>same bp in clean</t>
  </si>
  <si>
    <t>Compare Preceding - Subsequent breakpoints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</si>
</sst>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2" fillId="0" borderId="0" xfId="1"/>
    <xf numFmtId="0" fontId="2" fillId="0" borderId="1" xfId="1" applyBorder="1"/>
    <xf numFmtId="0" fontId="0" fillId="0" borderId="1" xfId="0" applyBorder="1"/>
    <xf numFmtId="0" fontId="2" fillId="2" borderId="0" xfId="1" applyFill="1"/>
    <xf numFmtId="0" fontId="0" fillId="2" borderId="0" xfId="0" applyFill="1"/>
    <xf numFmtId="0" fontId="2" fillId="0" borderId="0" xfId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3" xfId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1" applyFont="1"/>
    <xf numFmtId="0" fontId="3" fillId="0" borderId="1" xfId="1" applyFont="1" applyBorder="1"/>
    <xf numFmtId="0" fontId="3" fillId="2" borderId="0" xfId="1" applyFont="1" applyFill="1"/>
    <xf numFmtId="0" fontId="3" fillId="0" borderId="0" xfId="0" applyFont="1"/>
    <xf numFmtId="0" fontId="3" fillId="0" borderId="0" xfId="1" applyFont="1" applyBorder="1"/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3" xfId="1" applyFont="1" applyBorder="1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0" fillId="3" borderId="4" xfId="0" applyFill="1" applyBorder="1"/>
    <xf numFmtId="0" fontId="4" fillId="3" borderId="4" xfId="0" applyFont="1" applyFill="1" applyBorder="1"/>
    <xf numFmtId="0" fontId="0" fillId="2" borderId="4" xfId="0" applyFill="1" applyBorder="1"/>
    <xf numFmtId="0" fontId="1" fillId="5" borderId="4" xfId="0" applyFont="1" applyFill="1" applyBorder="1" applyAlignment="1">
      <alignment horizontal="center"/>
    </xf>
    <xf numFmtId="0" fontId="7" fillId="0" borderId="4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7" xfId="0" applyFont="1" applyBorder="1"/>
    <xf numFmtId="0" fontId="3" fillId="0" borderId="2" xfId="1" applyFont="1" applyBorder="1"/>
    <xf numFmtId="0" fontId="0" fillId="0" borderId="6" xfId="0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8" xfId="1" applyBorder="1"/>
    <xf numFmtId="0" fontId="3" fillId="0" borderId="8" xfId="1" applyFont="1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2" fillId="0" borderId="10" xfId="1" applyBorder="1"/>
    <xf numFmtId="0" fontId="3" fillId="0" borderId="10" xfId="1" applyFont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7" fillId="0" borderId="9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7" fillId="0" borderId="12" xfId="0" applyFont="1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3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4" xfId="0" applyBorder="1"/>
    <xf numFmtId="0" fontId="0" fillId="0" borderId="17" xfId="0" applyBorder="1"/>
    <xf numFmtId="0" fontId="7" fillId="0" borderId="1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0" xfId="0" applyFont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/>
    <xf numFmtId="0" fontId="4" fillId="3" borderId="0" xfId="0" applyFont="1" applyFill="1"/>
    <xf numFmtId="0" fontId="5" fillId="0" borderId="3" xfId="0" applyFont="1" applyBorder="1"/>
    <xf numFmtId="9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5-03T02:14:38.13" personId="{00000000-0000-0000-0000-000000000000}" id="{22A9A63C-060A-C043-892C-632D30E7F249}">
    <text>single buggy block - BPs are identical in buggy version</text>
  </threadedComment>
  <threadedComment ref="I3" dT="2025-05-03T02:14:38.13" personId="{00000000-0000-0000-0000-000000000000}" id="{5A32FE55-9B06-E142-BF22-E60CFDA1FFAA}">
    <text>single buggy block - BPs are identical in clean version</text>
  </threadedComment>
  <threadedComment ref="J3" dT="2025-03-05T01:55:38.27" personId="{00000000-0000-0000-0000-000000000000}" id="{FD2FFC55-53A1-A844-9B07-A0C0B125CD22}">
    <text>start from 0</text>
  </threadedComment>
  <threadedComment ref="I17" dT="2025-05-03T04:08:00.24" personId="{00000000-0000-0000-0000-000000000000}" id="{BC8725E3-681E-D441-9CC1-E62C795BDD92}">
    <text>if fix code effective, subsequent breakpoint will not be reached</text>
  </threadedComment>
  <threadedComment ref="I18" dT="2025-05-03T04:08:00.24" personId="{00000000-0000-0000-0000-000000000000}" id="{C0A3DA91-3464-0B48-A756-A07B82CF2A52}">
    <text>if fix code effective, subsequent breakpoint will not be reached</text>
  </threadedComment>
  <threadedComment ref="I19" dT="2025-05-03T04:08:00.24" personId="{00000000-0000-0000-0000-000000000000}" id="{B487A47A-71CE-E44B-8790-3E918128FAE3}">
    <text>if fix code effective, subsequent breakpoint will not be reached</text>
  </threadedComment>
  <threadedComment ref="I21" dT="2025-05-03T04:08:00.24" personId="{00000000-0000-0000-0000-000000000000}" id="{CE4DDCDE-9B32-2547-B98A-C31394C21A4D}">
    <text>if fix code effective, subsequent breakpoint will not be reached</text>
  </threadedComment>
  <threadedComment ref="I22" dT="2025-05-03T04:08:00.24" personId="{00000000-0000-0000-0000-000000000000}" id="{C5340D51-BA26-5142-B1B0-C44A75BA22EB}">
    <text>if fix code effective, subsequent breakpoint will not be reached</text>
  </threadedComment>
  <threadedComment ref="I30" dT="2025-05-03T04:30:29.49" personId="{00000000-0000-0000-0000-000000000000}" id="{8F51F65B-53CD-9043-A953-EF4DEDB9110D}">
    <text>fix conditional expressions</text>
  </threadedComment>
  <threadedComment ref="I31" dT="2025-05-03T04:31:02.22" personId="{00000000-0000-0000-0000-000000000000}" id="{F86ED43A-C499-544F-8C4C-7BD3365AF172}">
    <text>fix loop condition</text>
  </threadedComment>
  <threadedComment ref="I37" dT="2025-05-03T04:39:37.32" personId="{00000000-0000-0000-0000-000000000000}" id="{DCF1BC75-C471-8C4A-BA7A-E9D248FEE3B6}">
    <text>if fix code effective, subsequent breakpoint will not be reached</text>
  </threadedComment>
  <threadedComment ref="I38" dT="2025-05-03T04:39:37.32" personId="{00000000-0000-0000-0000-000000000000}" id="{9553DD5C-4D2C-0D4F-99F1-4E0814309AC8}">
    <text>if fix code effective, subsequent breakpoint will not be reached</text>
  </threadedComment>
  <threadedComment ref="I47" dT="2025-05-03T04:39:37.32" personId="{00000000-0000-0000-0000-000000000000}" id="{AEC29A94-D241-8047-9C94-5A9CF7B00523}">
    <text>if fix code effective, subsequent breakpoint will not be reached</text>
  </threadedComment>
  <threadedComment ref="I49" dT="2025-05-03T04:39:37.32" personId="{00000000-0000-0000-0000-000000000000}" id="{BAA4B0C0-DA0A-434F-B5AE-075B2B5BE548}">
    <text>if fix code effective, subsequent breakpoint will not be reached</text>
  </threadedComment>
  <threadedComment ref="I54" dT="2025-05-03T04:31:02.22" personId="{00000000-0000-0000-0000-000000000000}" id="{3CAFE147-C811-514E-B272-412B7057276D}">
    <text>fix loop condition</text>
  </threadedComment>
  <threadedComment ref="I55" dT="2025-05-03T04:39:37.32" personId="{00000000-0000-0000-0000-000000000000}" id="{10951546-A007-9040-B160-A5EB45FB6A2A}">
    <text>if fix code effective, subsequent breakpoint will not be reached</text>
  </threadedComment>
  <threadedComment ref="I56" dT="2025-05-03T04:30:29.49" personId="{00000000-0000-0000-0000-000000000000}" id="{DBAD91DE-D97A-1C41-9C74-9EC725257DDA}">
    <text>fix conditional expressions</text>
  </threadedComment>
  <threadedComment ref="I57" dT="2025-05-03T04:30:29.49" personId="{00000000-0000-0000-0000-000000000000}" id="{9482EBA8-1D61-594C-AAA9-CAF6841D9D04}">
    <text>fix conditional expressions</text>
  </threadedComment>
  <threadedComment ref="I58" dT="2025-05-03T04:31:02.22" personId="{00000000-0000-0000-0000-000000000000}" id="{F725158B-41B9-A348-BEEB-AF2E4896B8A6}">
    <text>fix loop condition</text>
  </threadedComment>
  <threadedComment ref="I59" dT="2025-05-03T04:31:02.22" personId="{00000000-0000-0000-0000-000000000000}" id="{A87EEAE7-675E-2E4D-A76A-DEBDF7C01D43}">
    <text>fix loop condition</text>
  </threadedComment>
  <threadedComment ref="H65" dT="2025-05-03T05:35:38.57" personId="{00000000-0000-0000-0000-000000000000}" id="{8609A2CF-32AC-024B-A029-C7D5DC1AE15F}">
    <text>early return, buggy bp may nt be reached</text>
  </threadedComment>
  <threadedComment ref="I68" dT="2025-05-03T05:37:16.64" personId="{00000000-0000-0000-0000-000000000000}" id="{FAA93D3B-DA2A-8749-BCEB-39C9C521D490}">
    <text xml:space="preserve">early return
</text>
  </threadedComment>
  <threadedComment ref="I69" dT="2025-05-03T05:37:16.64" personId="{00000000-0000-0000-0000-000000000000}" id="{29113861-83AA-184E-88DD-42BF11FD44D5}">
    <text xml:space="preserve">early return
</text>
  </threadedComment>
  <threadedComment ref="I70" dT="2025-05-03T05:37:16.64" personId="{00000000-0000-0000-0000-000000000000}" id="{948253AD-F392-F840-8B1E-02EE674EA20D}">
    <text xml:space="preserve">early return
</text>
  </threadedComment>
  <threadedComment ref="I71" dT="2025-05-03T05:37:16.64" personId="{00000000-0000-0000-0000-000000000000}" id="{61C2D5A8-218A-EB4B-B480-1AE992CF6885}">
    <text xml:space="preserve">early return
</text>
  </threadedComment>
  <threadedComment ref="I72" dT="2025-05-03T05:37:16.64" personId="{00000000-0000-0000-0000-000000000000}" id="{3C996814-4373-1844-B737-48CE79418048}">
    <text xml:space="preserve">early return
</text>
  </threadedComment>
  <threadedComment ref="I73" dT="2025-05-03T05:37:16.64" personId="{00000000-0000-0000-0000-000000000000}" id="{E0FBE236-7E73-954D-8D2E-4DCECAD0FBA4}">
    <text xml:space="preserve">early return
</text>
  </threadedComment>
  <threadedComment ref="I74" dT="2025-05-03T05:37:16.64" personId="{00000000-0000-0000-0000-000000000000}" id="{5B5F4068-77A0-3E46-870D-5DF9B19B3DB2}">
    <text xml:space="preserve">early return
</text>
  </threadedComment>
  <threadedComment ref="I76" dT="2025-05-03T05:37:16.64" personId="{00000000-0000-0000-0000-000000000000}" id="{897014C6-1E1F-3B49-BCE5-65E3D9578143}">
    <text xml:space="preserve">early return
</text>
  </threadedComment>
  <threadedComment ref="I77" dT="2025-05-03T05:37:16.64" personId="{00000000-0000-0000-0000-000000000000}" id="{81DF5B42-56BC-8549-BFEA-AF33F461F94B}">
    <text xml:space="preserve">early return
</text>
  </threadedComment>
  <threadedComment ref="I79" dT="2025-05-03T05:37:16.64" personId="{00000000-0000-0000-0000-000000000000}" id="{34DD7494-8A0B-584D-B6E9-59A73581540C}">
    <text xml:space="preserve">early return
</text>
  </threadedComment>
  <threadedComment ref="I80" dT="2025-05-03T05:37:16.64" personId="{00000000-0000-0000-0000-000000000000}" id="{2483D8AB-9755-BC48-88C7-EC6D77337CDA}">
    <text xml:space="preserve">early return
</text>
  </threadedComment>
  <threadedComment ref="I81" dT="2025-05-03T05:37:16.64" personId="{00000000-0000-0000-0000-000000000000}" id="{C38E1D45-0F44-2942-80C4-584705D66027}">
    <text xml:space="preserve">early return
</text>
  </threadedComment>
  <threadedComment ref="I83" dT="2025-05-03T05:37:16.64" personId="{00000000-0000-0000-0000-000000000000}" id="{66091BBD-ABAC-2443-991F-237F9AC17FBB}">
    <text xml:space="preserve">early return
</text>
  </threadedComment>
  <threadedComment ref="I85" dT="2025-05-03T05:37:16.64" personId="{00000000-0000-0000-0000-000000000000}" id="{4B3A4066-F5C8-2C46-B0B6-1ABAFA8F861E}">
    <text xml:space="preserve">early return
</text>
  </threadedComment>
  <threadedComment ref="I87" dT="2025-05-03T05:37:16.64" personId="{00000000-0000-0000-0000-000000000000}" id="{3BF02856-4EFF-FE48-82BC-2957B317D421}">
    <text xml:space="preserve">early return
</text>
  </threadedComment>
  <threadedComment ref="I88" dT="2025-05-03T05:37:16.64" personId="{00000000-0000-0000-0000-000000000000}" id="{6F905405-BC6D-9347-BCFB-2D514A0F7073}">
    <text xml:space="preserve">early return
</text>
  </threadedComment>
  <threadedComment ref="I91" dT="2025-05-03T05:37:16.64" personId="{00000000-0000-0000-0000-000000000000}" id="{7B6E5098-32B5-BE4A-8D2B-8E0117AD8DD2}">
    <text xml:space="preserve">early return
</text>
  </threadedComment>
  <threadedComment ref="I93" dT="2025-05-03T05:37:16.64" personId="{00000000-0000-0000-0000-000000000000}" id="{4032E708-7F2E-064E-88EC-1316F035EC7D}">
    <text xml:space="preserve">early return
</text>
  </threadedComment>
  <threadedComment ref="N103" dT="2025-05-03T06:19:04.63" personId="{00000000-0000-0000-0000-000000000000}" id="{EDA5D6E7-7CC2-4241-AAE0-586BC66C30BF}">
    <text>too small signal</text>
  </threadedComment>
  <threadedComment ref="I109" dT="2025-05-03T06:33:01.62" personId="{00000000-0000-0000-0000-000000000000}" id="{989AD62D-09B7-DF43-909C-263A07304609}">
    <text>fix conditional expressions</text>
  </threadedComment>
  <threadedComment ref="J109" dT="2025-03-17T04:29:22.27" personId="{00000000-0000-0000-0000-000000000000}" id="{622DC5D2-10AC-B843-9E38-E23B202B3789}">
    <text xml:space="preserve">shifted because of extra breakpoint in another test case. </text>
  </threadedComment>
  <threadedComment ref="I110" dT="2025-05-03T06:33:01.62" personId="{00000000-0000-0000-0000-000000000000}" id="{F8589429-9BF6-5343-A8EA-DB288666D3C2}">
    <text>fix conditional expressions</text>
  </threadedComment>
  <threadedComment ref="I113" dT="2025-05-03T05:37:16.64" personId="{00000000-0000-0000-0000-000000000000}" id="{734EE5BF-B4E6-A744-B163-88E41D119B8C}">
    <text xml:space="preserve">early return
</text>
  </threadedComment>
  <threadedComment ref="K113" dT="2025-03-17T04:31:58.04" personId="{00000000-0000-0000-0000-000000000000}" id="{C6A8DBB2-EC47-A24C-A4D0-7CCEC92ED771}">
    <text>shifted because of extra breakpoint, two exit points</text>
  </threadedComment>
  <threadedComment ref="I114" dT="2025-05-03T05:37:16.64" personId="{00000000-0000-0000-0000-000000000000}" id="{CBA4EEC4-DB62-8548-B348-9F4CC92AF1AE}">
    <text xml:space="preserve">early return
</text>
  </threadedComment>
  <threadedComment ref="K114" dT="2025-03-17T04:31:58.04" personId="{00000000-0000-0000-0000-000000000000}" id="{1D2B0C59-55FF-C640-A419-7B5A841DC96E}">
    <text>shifted because of extra breakpoint, two exit points</text>
  </threadedComment>
  <threadedComment ref="I120" dT="2025-05-03T05:37:16.64" personId="{00000000-0000-0000-0000-000000000000}" id="{BBE2E634-DD61-5B4C-A872-A20B8B867556}">
    <text xml:space="preserve">early return
</text>
  </threadedComment>
  <threadedComment ref="I133" dT="2025-05-03T05:37:16.64" personId="{00000000-0000-0000-0000-000000000000}" id="{A5BF25A7-2551-9D4B-BFFE-DA330E0E1579}">
    <text xml:space="preserve">early return
</text>
  </threadedComment>
  <threadedComment ref="I135" dT="2025-05-03T05:37:16.64" personId="{00000000-0000-0000-0000-000000000000}" id="{D5D4BA57-1CEA-BB4A-BC16-FB1B65B536B9}">
    <text xml:space="preserve">early return
</text>
  </threadedComment>
  <threadedComment ref="I144" dT="2025-05-03T05:37:16.64" personId="{00000000-0000-0000-0000-000000000000}" id="{FF94A9FD-54CB-CA45-AC2B-4F9AEA319087}">
    <text xml:space="preserve">early return
</text>
  </threadedComment>
  <threadedComment ref="K148" dT="2025-03-17T06:51:58.13" personId="{00000000-0000-0000-0000-000000000000}" id="{B088327B-C51D-BC46-971F-6A0445DFB90A}">
    <text>shifted because of extra breakpoint, two exit points</text>
  </threadedComment>
  <threadedComment ref="I151" dT="2025-05-03T05:37:16.64" personId="{00000000-0000-0000-0000-000000000000}" id="{1A9C5AC6-5EC6-8341-B665-66F4F241FF16}">
    <text xml:space="preserve">early return
</text>
  </threadedComment>
  <threadedComment ref="I170" dT="2025-05-03T05:37:16.64" personId="{00000000-0000-0000-0000-000000000000}" id="{599004D0-FEF9-B548-BAB5-C836732CF9F5}">
    <text xml:space="preserve">early return
</text>
  </threadedComment>
  <threadedComment ref="I171" dT="2025-05-03T05:37:16.64" personId="{00000000-0000-0000-0000-000000000000}" id="{D8F397D2-A3E4-9B45-AE9A-E4C932BE0EBD}">
    <text xml:space="preserve">early return
</text>
  </threadedComment>
  <threadedComment ref="I173" dT="2025-05-03T05:37:16.64" personId="{00000000-0000-0000-0000-000000000000}" id="{3A3CCBAD-9944-1F42-B81D-BB1972FD5F96}">
    <text xml:space="preserve">early return
</text>
  </threadedComment>
  <threadedComment ref="I174" dT="2025-05-03T05:37:16.64" personId="{00000000-0000-0000-0000-000000000000}" id="{F9EA9DAE-4DF4-E040-8EB7-EFFD9561C303}">
    <text xml:space="preserve">early return
</text>
  </threadedComment>
  <threadedComment ref="I175" dT="2025-05-03T05:37:16.64" personId="{00000000-0000-0000-0000-000000000000}" id="{A4B41F83-3F4D-BC40-A1A0-C5882649E317}">
    <text xml:space="preserve">early return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HexHive/magma/tree/master/targets/poppler/patches/bugs/PDF021.patch" TargetMode="External"/><Relationship Id="rId299" Type="http://schemas.openxmlformats.org/officeDocument/2006/relationships/hyperlink" Target="https://github.com/HexHive/magma/tree/master/targets/libtiff/patches/bugs/TIF007.patch" TargetMode="External"/><Relationship Id="rId21" Type="http://schemas.openxmlformats.org/officeDocument/2006/relationships/hyperlink" Target="https://github.com/HexHive/magma/tree/master/targets/libtiff/patches/bugs/TIF004.patch" TargetMode="External"/><Relationship Id="rId63" Type="http://schemas.openxmlformats.org/officeDocument/2006/relationships/hyperlink" Target="https://github.com/HexHive/magma/tree/master/targets/libxml2/patches/bugs/XML011.patch" TargetMode="External"/><Relationship Id="rId159" Type="http://schemas.openxmlformats.org/officeDocument/2006/relationships/hyperlink" Target="https://github.com/HexHive/magma/tree/master/targets/sqlite3/patches/bugs/SQL001.patch" TargetMode="External"/><Relationship Id="rId324" Type="http://schemas.openxmlformats.org/officeDocument/2006/relationships/hyperlink" Target="https://cve.mitre.org/cgi-bin/cvename.cgi?name=CVE-2016-1837" TargetMode="External"/><Relationship Id="rId366" Type="http://schemas.openxmlformats.org/officeDocument/2006/relationships/hyperlink" Target="https://cve.mitre.org/cgi-bin/cvename.cgi?name=CVE-2016-7414" TargetMode="External"/><Relationship Id="rId170" Type="http://schemas.openxmlformats.org/officeDocument/2006/relationships/hyperlink" Target="https://cve.mitre.org/cgi-bin/cvename.cgi?name=CVE-2019-19244" TargetMode="External"/><Relationship Id="rId226" Type="http://schemas.openxmlformats.org/officeDocument/2006/relationships/hyperlink" Target="https://cve.mitre.org/cgi-bin/cvename.cgi?name=CVE-2014-9912" TargetMode="External"/><Relationship Id="rId268" Type="http://schemas.openxmlformats.org/officeDocument/2006/relationships/hyperlink" Target="https://cve.mitre.org/cgi-bin/cvename.cgi?name=CVE-2019-7317" TargetMode="External"/><Relationship Id="rId32" Type="http://schemas.openxmlformats.org/officeDocument/2006/relationships/hyperlink" Target="https://cve.mitre.org/cgi-bin/cvename.cgi?name=CVE-2019-7663" TargetMode="External"/><Relationship Id="rId74" Type="http://schemas.openxmlformats.org/officeDocument/2006/relationships/hyperlink" Target="https://cve.mitre.org/cgi-bin/cvename.cgi?name=CVE-2016-1840" TargetMode="External"/><Relationship Id="rId128" Type="http://schemas.openxmlformats.org/officeDocument/2006/relationships/hyperlink" Target="https://cve.mitre.org/cgi-bin/cvename.cgi?name=CVE-2016-6304" TargetMode="External"/><Relationship Id="rId335" Type="http://schemas.openxmlformats.org/officeDocument/2006/relationships/hyperlink" Target="https://github.com/HexHive/magma/tree/master/targets/openssl/patches/bugs/SSL015.patch" TargetMode="External"/><Relationship Id="rId377" Type="http://schemas.openxmlformats.org/officeDocument/2006/relationships/hyperlink" Target="https://github.com/HexHive/magma/tree/master/targets/poppler/patches/bugs/PDF017.patch" TargetMode="External"/><Relationship Id="rId5" Type="http://schemas.openxmlformats.org/officeDocument/2006/relationships/hyperlink" Target="https://github.com/HexHive/magma/tree/master/targets/libpng/patches/bugs/PNG003.patch" TargetMode="External"/><Relationship Id="rId181" Type="http://schemas.openxmlformats.org/officeDocument/2006/relationships/hyperlink" Target="https://github.com/HexHive/magma/tree/master/targets/sqlite3/patches/bugs/SQL012.patch" TargetMode="External"/><Relationship Id="rId237" Type="http://schemas.openxmlformats.org/officeDocument/2006/relationships/hyperlink" Target="https://github.com/HexHive/magma/tree/master/targets/libsndfile/patches/bugs/SND006.patch" TargetMode="External"/><Relationship Id="rId402" Type="http://schemas.openxmlformats.org/officeDocument/2006/relationships/hyperlink" Target="https://cve.mitre.org/cgi-bin/cvename.cgi?name=CVE-2020-15945" TargetMode="External"/><Relationship Id="rId279" Type="http://schemas.openxmlformats.org/officeDocument/2006/relationships/hyperlink" Target="https://github.com/HexHive/magma/tree/master/targets/libsndfile/patches/bugs/SND012.patch" TargetMode="External"/><Relationship Id="rId43" Type="http://schemas.openxmlformats.org/officeDocument/2006/relationships/hyperlink" Target="https://github.com/HexHive/magma/tree/master/targets/libxml2/patches/bugs/XML001.patch" TargetMode="External"/><Relationship Id="rId139" Type="http://schemas.openxmlformats.org/officeDocument/2006/relationships/hyperlink" Target="https://github.com/HexHive/magma/tree/master/targets/openssl/patches/bugs/SSL011.patch" TargetMode="External"/><Relationship Id="rId290" Type="http://schemas.openxmlformats.org/officeDocument/2006/relationships/hyperlink" Target="https://github.com/HexHive/magma/tree/master/targets/libtiff/patches/bugs/TIF001.patch" TargetMode="External"/><Relationship Id="rId304" Type="http://schemas.openxmlformats.org/officeDocument/2006/relationships/hyperlink" Target="https://cve.mitre.org/cgi-bin/cvename.cgi?name=CVE-2019-7663" TargetMode="External"/><Relationship Id="rId346" Type="http://schemas.openxmlformats.org/officeDocument/2006/relationships/hyperlink" Target="https://cve.mitre.org/cgi-bin/cvename.cgi?name=CVE-2018-20783" TargetMode="External"/><Relationship Id="rId388" Type="http://schemas.openxmlformats.org/officeDocument/2006/relationships/hyperlink" Target="https://github.com/HexHive/magma/tree/master/targets/lua/patches/bugs/LUA004.patch" TargetMode="External"/><Relationship Id="rId85" Type="http://schemas.openxmlformats.org/officeDocument/2006/relationships/hyperlink" Target="https://github.com/HexHive/magma/tree/master/targets/poppler/patches/bugs/PDF005.patch" TargetMode="External"/><Relationship Id="rId150" Type="http://schemas.openxmlformats.org/officeDocument/2006/relationships/hyperlink" Target="https://cve.mitre.org/cgi-bin/cvename.cgi?name=CVE-2015-1788" TargetMode="External"/><Relationship Id="rId192" Type="http://schemas.openxmlformats.org/officeDocument/2006/relationships/hyperlink" Target="https://cve.mitre.org/cgi-bin/cvename.cgi?name=CVE-2020-9327" TargetMode="External"/><Relationship Id="rId206" Type="http://schemas.openxmlformats.org/officeDocument/2006/relationships/hyperlink" Target="https://cve.mitre.org/cgi-bin/cvename.cgi?name=CVE-2019-11034" TargetMode="External"/><Relationship Id="rId248" Type="http://schemas.openxmlformats.org/officeDocument/2006/relationships/hyperlink" Target="https://cve.mitre.org/cgi-bin/cvename.cgi?name=CVE-2017-14245" TargetMode="External"/><Relationship Id="rId12" Type="http://schemas.openxmlformats.org/officeDocument/2006/relationships/hyperlink" Target="https://hexhive.epfl.ch/magma/docs/bugs.html" TargetMode="External"/><Relationship Id="rId108" Type="http://schemas.openxmlformats.org/officeDocument/2006/relationships/hyperlink" Target="https://cve.mitre.org/cgi-bin/cvename.cgi?name=CVE-2018-13988" TargetMode="External"/><Relationship Id="rId315" Type="http://schemas.openxmlformats.org/officeDocument/2006/relationships/hyperlink" Target="https://github.com/HexHive/magma/tree/master/targets/libxml2/patches/bugs/XML005.patch" TargetMode="External"/><Relationship Id="rId357" Type="http://schemas.openxmlformats.org/officeDocument/2006/relationships/hyperlink" Target="https://github.com/HexHive/magma/tree/master/targets/php/patches/bugs/PHP010.patch" TargetMode="External"/><Relationship Id="rId54" Type="http://schemas.openxmlformats.org/officeDocument/2006/relationships/hyperlink" Target="https://cve.mitre.org/cgi-bin/cvename.cgi?name=CVE-2017-9048" TargetMode="External"/><Relationship Id="rId96" Type="http://schemas.openxmlformats.org/officeDocument/2006/relationships/hyperlink" Target="https://bugs.freedesktop.org/show_bug.cgi?id=101366" TargetMode="External"/><Relationship Id="rId161" Type="http://schemas.openxmlformats.org/officeDocument/2006/relationships/hyperlink" Target="https://github.com/HexHive/magma/tree/master/targets/sqlite3/patches/bugs/SQL002.patch" TargetMode="External"/><Relationship Id="rId217" Type="http://schemas.openxmlformats.org/officeDocument/2006/relationships/hyperlink" Target="https://github.com/HexHive/magma/tree/master/targets/php/patches/bugs/PHP010.patch" TargetMode="External"/><Relationship Id="rId399" Type="http://schemas.openxmlformats.org/officeDocument/2006/relationships/hyperlink" Target="https://cve.mitre.org/cgi-bin/cvename.cgi?name=CVE-2020-15945" TargetMode="External"/><Relationship Id="rId259" Type="http://schemas.openxmlformats.org/officeDocument/2006/relationships/hyperlink" Target="https://github.com/HexHive/magma/tree/master/targets/libsndfile/patches/bugs/SND023.patch" TargetMode="External"/><Relationship Id="rId23" Type="http://schemas.openxmlformats.org/officeDocument/2006/relationships/hyperlink" Target="https://github.com/HexHive/magma/tree/master/targets/libtiff/patches/bugs/TIF005.patch" TargetMode="External"/><Relationship Id="rId119" Type="http://schemas.openxmlformats.org/officeDocument/2006/relationships/hyperlink" Target="https://github.com/HexHive/magma/tree/master/targets/poppler/patches/bugs/PDF022.patch" TargetMode="External"/><Relationship Id="rId270" Type="http://schemas.openxmlformats.org/officeDocument/2006/relationships/hyperlink" Target="https://cve.mitre.org/cgi-bin/cvename.cgi?name=CVE-2015-8472" TargetMode="External"/><Relationship Id="rId326" Type="http://schemas.openxmlformats.org/officeDocument/2006/relationships/hyperlink" Target="https://cve.mitre.org/cgi-bin/cvename.cgi?name=CVE-2016-1837" TargetMode="External"/><Relationship Id="rId65" Type="http://schemas.openxmlformats.org/officeDocument/2006/relationships/hyperlink" Target="https://github.com/HexHive/magma/tree/master/targets/libxml2/patches/bugs/XML012.patch" TargetMode="External"/><Relationship Id="rId130" Type="http://schemas.openxmlformats.org/officeDocument/2006/relationships/hyperlink" Target="https://cve.mitre.org/cgi-bin/cvename.cgi?name=CVE-2016-2105" TargetMode="External"/><Relationship Id="rId368" Type="http://schemas.openxmlformats.org/officeDocument/2006/relationships/hyperlink" Target="https://cve.mitre.org/cgi-bin/cvename.cgi?name=CVE-2016-7414" TargetMode="External"/><Relationship Id="rId172" Type="http://schemas.openxmlformats.org/officeDocument/2006/relationships/hyperlink" Target="https://cve.mitre.org/cgi-bin/cvename.cgi?name=CVE-2018-8740" TargetMode="External"/><Relationship Id="rId228" Type="http://schemas.openxmlformats.org/officeDocument/2006/relationships/hyperlink" Target="https://cve.mitre.org/cgi-bin/cvename.cgi?name=CVE-2016-10159" TargetMode="External"/><Relationship Id="rId281" Type="http://schemas.openxmlformats.org/officeDocument/2006/relationships/hyperlink" Target="https://github.com/HexHive/magma/tree/master/targets/libtiff/patches/bugs/TIF001.patch" TargetMode="External"/><Relationship Id="rId337" Type="http://schemas.openxmlformats.org/officeDocument/2006/relationships/hyperlink" Target="https://github.com/HexHive/magma/tree/master/targets/openssl/patches/bugs/SSL011.patch" TargetMode="External"/><Relationship Id="rId34" Type="http://schemas.openxmlformats.org/officeDocument/2006/relationships/hyperlink" Target="https://cve.mitre.org/cgi-bin/cvename.cgi?name=CVE-2018-8905" TargetMode="External"/><Relationship Id="rId76" Type="http://schemas.openxmlformats.org/officeDocument/2006/relationships/hyperlink" Target="https://cve.mitre.org/cgi-bin/cvename.cgi?name=CVE-2016-1762" TargetMode="External"/><Relationship Id="rId141" Type="http://schemas.openxmlformats.org/officeDocument/2006/relationships/hyperlink" Target="https://github.com/HexHive/magma/tree/master/targets/openssl/patches/bugs/SSL012.patch" TargetMode="External"/><Relationship Id="rId379" Type="http://schemas.openxmlformats.org/officeDocument/2006/relationships/hyperlink" Target="https://github.com/HexHive/magma/tree/master/targets/poppler/patches/bugs/PDF020.patch" TargetMode="External"/><Relationship Id="rId7" Type="http://schemas.openxmlformats.org/officeDocument/2006/relationships/hyperlink" Target="https://github.com/HexHive/magma/tree/master/targets/libpng/patches/bugs/PNG004.patch" TargetMode="External"/><Relationship Id="rId183" Type="http://schemas.openxmlformats.org/officeDocument/2006/relationships/hyperlink" Target="https://github.com/HexHive/magma/tree/master/targets/sqlite3/patches/bugs/SQL013.patch" TargetMode="External"/><Relationship Id="rId239" Type="http://schemas.openxmlformats.org/officeDocument/2006/relationships/hyperlink" Target="https://github.com/HexHive/magma/tree/master/targets/libsndfile/patches/bugs/SND007.patch" TargetMode="External"/><Relationship Id="rId390" Type="http://schemas.openxmlformats.org/officeDocument/2006/relationships/hyperlink" Target="https://github.com/HexHive/magma/tree/master/targets/lua/patches/bugs/LUA004.patch" TargetMode="External"/><Relationship Id="rId404" Type="http://schemas.openxmlformats.org/officeDocument/2006/relationships/hyperlink" Target="https://cve.mitre.org/cgi-bin/cvename.cgi?name=CVE-2020-15945" TargetMode="External"/><Relationship Id="rId250" Type="http://schemas.openxmlformats.org/officeDocument/2006/relationships/hyperlink" Target="https://cve.mitre.org/cgi-bin/cvename.cgi?name=CVE-2018-19662" TargetMode="External"/><Relationship Id="rId292" Type="http://schemas.openxmlformats.org/officeDocument/2006/relationships/hyperlink" Target="https://cve.mitre.org/cgi-bin/cvename.cgi?name=CVE-2016-9535" TargetMode="External"/><Relationship Id="rId306" Type="http://schemas.openxmlformats.org/officeDocument/2006/relationships/hyperlink" Target="https://cve.mitre.org/cgi-bin/cvename.cgi?name=CVE-2016-3658" TargetMode="External"/><Relationship Id="rId45" Type="http://schemas.openxmlformats.org/officeDocument/2006/relationships/hyperlink" Target="https://github.com/HexHive/magma/tree/master/targets/libxml2/patches/bugs/XML002.patch" TargetMode="External"/><Relationship Id="rId87" Type="http://schemas.openxmlformats.org/officeDocument/2006/relationships/hyperlink" Target="https://github.com/HexHive/magma/tree/master/targets/poppler/patches/bugs/PDF006.patch" TargetMode="External"/><Relationship Id="rId110" Type="http://schemas.openxmlformats.org/officeDocument/2006/relationships/hyperlink" Target="https://cve.mitre.org/cgi-bin/cvename.cgi?name=CVE-2019-12360" TargetMode="External"/><Relationship Id="rId348" Type="http://schemas.openxmlformats.org/officeDocument/2006/relationships/hyperlink" Target="https://cve.mitre.org/cgi-bin/cvename.cgi?name=CVE-2018-20783" TargetMode="External"/><Relationship Id="rId152" Type="http://schemas.openxmlformats.org/officeDocument/2006/relationships/hyperlink" Target="https://cve.mitre.org/cgi-bin/cvename.cgi?name=CVE-2016-7052" TargetMode="External"/><Relationship Id="rId194" Type="http://schemas.openxmlformats.org/officeDocument/2006/relationships/hyperlink" Target="https://cve.mitre.org/cgi-bin/cvename.cgi?name=CVE-2015-3414" TargetMode="External"/><Relationship Id="rId208" Type="http://schemas.openxmlformats.org/officeDocument/2006/relationships/hyperlink" Target="https://cve.mitre.org/cgi-bin/cvename.cgi?name=CVE-2019-11039" TargetMode="External"/><Relationship Id="rId261" Type="http://schemas.openxmlformats.org/officeDocument/2006/relationships/hyperlink" Target="https://github.com/HexHive/magma/tree/master/targets/libsndfile/patches/bugs/SND024.patch" TargetMode="External"/><Relationship Id="rId14" Type="http://schemas.openxmlformats.org/officeDocument/2006/relationships/hyperlink" Target="https://cve.mitre.org/cgi-bin/cvename.cgi?name=CVE-2013-6954" TargetMode="External"/><Relationship Id="rId56" Type="http://schemas.openxmlformats.org/officeDocument/2006/relationships/hyperlink" Target="https://cve.mitre.org/cgi-bin/cvename.cgi?name=CVE-2017-8872" TargetMode="External"/><Relationship Id="rId317" Type="http://schemas.openxmlformats.org/officeDocument/2006/relationships/hyperlink" Target="https://github.com/HexHive/magma/tree/master/targets/libxml2/patches/bugs/XML011.patch" TargetMode="External"/><Relationship Id="rId359" Type="http://schemas.openxmlformats.org/officeDocument/2006/relationships/hyperlink" Target="https://github.com/HexHive/magma/tree/master/targets/php/patches/bugs/PHP016.patch" TargetMode="External"/><Relationship Id="rId98" Type="http://schemas.openxmlformats.org/officeDocument/2006/relationships/hyperlink" Target="https://cve.mitre.org/cgi-bin/cvename.cgi?name=CVE-2019-7310" TargetMode="External"/><Relationship Id="rId121" Type="http://schemas.openxmlformats.org/officeDocument/2006/relationships/hyperlink" Target="https://github.com/HexHive/magma/tree/master/targets/openssl/patches/bugs/SSL002.patch" TargetMode="External"/><Relationship Id="rId163" Type="http://schemas.openxmlformats.org/officeDocument/2006/relationships/hyperlink" Target="https://github.com/HexHive/magma/tree/master/targets/sqlite3/patches/bugs/SQL003.patch" TargetMode="External"/><Relationship Id="rId219" Type="http://schemas.openxmlformats.org/officeDocument/2006/relationships/hyperlink" Target="https://github.com/HexHive/magma/tree/master/targets/php/patches/bugs/PHP011.patch" TargetMode="External"/><Relationship Id="rId370" Type="http://schemas.openxmlformats.org/officeDocument/2006/relationships/hyperlink" Target="https://cve.mitre.org/cgi-bin/cvename.cgi?name=CVE-2017-9865" TargetMode="External"/><Relationship Id="rId230" Type="http://schemas.openxmlformats.org/officeDocument/2006/relationships/hyperlink" Target="https://cve.mitre.org/cgi-bin/cvename.cgi?name=CVE-2011-2696" TargetMode="External"/><Relationship Id="rId25" Type="http://schemas.openxmlformats.org/officeDocument/2006/relationships/hyperlink" Target="https://github.com/HexHive/magma/tree/master/targets/libtiff/patches/bugs/TIF006.patch" TargetMode="External"/><Relationship Id="rId67" Type="http://schemas.openxmlformats.org/officeDocument/2006/relationships/hyperlink" Target="https://github.com/HexHive/magma/tree/master/targets/libxml2/patches/bugs/XML013.patch" TargetMode="External"/><Relationship Id="rId272" Type="http://schemas.openxmlformats.org/officeDocument/2006/relationships/hyperlink" Target="https://cve.mitre.org/cgi-bin/cvename.cgi?name=CVE-2015-0973" TargetMode="External"/><Relationship Id="rId328" Type="http://schemas.openxmlformats.org/officeDocument/2006/relationships/hyperlink" Target="https://cve.mitre.org/cgi-bin/cvename.cgi?name=CVE-2016-1840" TargetMode="External"/><Relationship Id="rId132" Type="http://schemas.openxmlformats.org/officeDocument/2006/relationships/hyperlink" Target="https://cve.mitre.org/cgi-bin/cvename.cgi?name=CVE-2016-6303" TargetMode="External"/><Relationship Id="rId174" Type="http://schemas.openxmlformats.org/officeDocument/2006/relationships/hyperlink" Target="https://cve.mitre.org/cgi-bin/cvename.cgi?name=CVE-2017-15286" TargetMode="External"/><Relationship Id="rId381" Type="http://schemas.openxmlformats.org/officeDocument/2006/relationships/hyperlink" Target="https://github.com/HexHive/magma/tree/master/targets/lua/patches/bugs/LUA001.patch" TargetMode="External"/><Relationship Id="rId241" Type="http://schemas.openxmlformats.org/officeDocument/2006/relationships/hyperlink" Target="https://github.com/HexHive/magma/tree/master/targets/libsndfile/patches/bugs/SND010.patch" TargetMode="External"/><Relationship Id="rId36" Type="http://schemas.openxmlformats.org/officeDocument/2006/relationships/hyperlink" Target="https://cve.mitre.org/cgi-bin/cvename.cgi?name=CVE-2018-7456" TargetMode="External"/><Relationship Id="rId283" Type="http://schemas.openxmlformats.org/officeDocument/2006/relationships/hyperlink" Target="https://github.com/HexHive/magma/tree/master/targets/libtiff/patches/bugs/TIF001.patch" TargetMode="External"/><Relationship Id="rId339" Type="http://schemas.openxmlformats.org/officeDocument/2006/relationships/hyperlink" Target="https://github.com/HexHive/magma/tree/master/targets/openssl/patches/bugs/SSL017.patch" TargetMode="External"/><Relationship Id="rId78" Type="http://schemas.openxmlformats.org/officeDocument/2006/relationships/hyperlink" Target="https://cve.mitre.org/cgi-bin/cvename.cgi?name=CVE-2019-14494" TargetMode="External"/><Relationship Id="rId101" Type="http://schemas.openxmlformats.org/officeDocument/2006/relationships/hyperlink" Target="https://github.com/HexHive/magma/tree/master/targets/poppler/patches/bugs/PDF013.patch" TargetMode="External"/><Relationship Id="rId143" Type="http://schemas.openxmlformats.org/officeDocument/2006/relationships/hyperlink" Target="https://github.com/HexHive/magma/tree/master/targets/openssl/patches/bugs/SSL013.patch" TargetMode="External"/><Relationship Id="rId185" Type="http://schemas.openxmlformats.org/officeDocument/2006/relationships/hyperlink" Target="https://github.com/HexHive/magma/tree/master/targets/sqlite3/patches/bugs/SQL014.patch" TargetMode="External"/><Relationship Id="rId350" Type="http://schemas.openxmlformats.org/officeDocument/2006/relationships/hyperlink" Target="https://cve.mitre.org/cgi-bin/cvename.cgi?name=CVE-2018-20783" TargetMode="External"/><Relationship Id="rId406" Type="http://schemas.openxmlformats.org/officeDocument/2006/relationships/hyperlink" Target="https://cve.mitre.org/cgi-bin/cvename.cgi?name=CVE-2020-15945" TargetMode="External"/><Relationship Id="rId9" Type="http://schemas.openxmlformats.org/officeDocument/2006/relationships/hyperlink" Target="https://github.com/HexHive/magma/tree/master/targets/libpng/patches/bugs/PNG005.patch" TargetMode="External"/><Relationship Id="rId210" Type="http://schemas.openxmlformats.org/officeDocument/2006/relationships/hyperlink" Target="https://cve.mitre.org/cgi-bin/cvename.cgi?name=CVE-2019-11040" TargetMode="External"/><Relationship Id="rId392" Type="http://schemas.openxmlformats.org/officeDocument/2006/relationships/hyperlink" Target="https://github.com/HexHive/magma/tree/master/targets/openssl/patches/bugs/SSL001.patch" TargetMode="External"/><Relationship Id="rId252" Type="http://schemas.openxmlformats.org/officeDocument/2006/relationships/hyperlink" Target="https://cve.mitre.org/cgi-bin/cvename.cgi?name=CVE-2017-14634" TargetMode="External"/><Relationship Id="rId294" Type="http://schemas.openxmlformats.org/officeDocument/2006/relationships/hyperlink" Target="https://cve.mitre.org/cgi-bin/cvename.cgi?name=CVE-2016-9535" TargetMode="External"/><Relationship Id="rId308" Type="http://schemas.openxmlformats.org/officeDocument/2006/relationships/hyperlink" Target="https://cve.mitre.org/cgi-bin/cvename.cgi?name=CVE-2017-9047" TargetMode="External"/><Relationship Id="rId47" Type="http://schemas.openxmlformats.org/officeDocument/2006/relationships/hyperlink" Target="https://github.com/HexHive/magma/tree/master/targets/libxml2/patches/bugs/XML003.patch" TargetMode="External"/><Relationship Id="rId89" Type="http://schemas.openxmlformats.org/officeDocument/2006/relationships/hyperlink" Target="https://github.com/HexHive/magma/tree/master/targets/poppler/patches/bugs/PDF007.patch" TargetMode="External"/><Relationship Id="rId112" Type="http://schemas.openxmlformats.org/officeDocument/2006/relationships/hyperlink" Target="https://cve.mitre.org/cgi-bin/cvename.cgi?name=CVE-2018-10768" TargetMode="External"/><Relationship Id="rId154" Type="http://schemas.openxmlformats.org/officeDocument/2006/relationships/hyperlink" Target="https://cve.mitre.org/cgi-bin/cvename.cgi?name=CVE-2016-6308" TargetMode="External"/><Relationship Id="rId361" Type="http://schemas.openxmlformats.org/officeDocument/2006/relationships/hyperlink" Target="https://github.com/HexHive/magma/tree/master/targets/php/patches/bugs/PHP016.patch" TargetMode="External"/><Relationship Id="rId196" Type="http://schemas.openxmlformats.org/officeDocument/2006/relationships/hyperlink" Target="https://cve.mitre.org/cgi-bin/cvename.cgi?name=CVE-2015-3416" TargetMode="External"/><Relationship Id="rId16" Type="http://schemas.openxmlformats.org/officeDocument/2006/relationships/hyperlink" Target="https://cve.mitre.org/cgi-bin/cvename.cgi?name=CVE-2016-9535" TargetMode="External"/><Relationship Id="rId221" Type="http://schemas.openxmlformats.org/officeDocument/2006/relationships/hyperlink" Target="https://github.com/HexHive/magma/tree/master/targets/php/patches/bugs/PHP012.patch" TargetMode="External"/><Relationship Id="rId263" Type="http://schemas.openxmlformats.org/officeDocument/2006/relationships/hyperlink" Target="https://github.com/HexHive/magma/tree/master/targets/libsndfile/patches/bugs/SND025.patch" TargetMode="External"/><Relationship Id="rId319" Type="http://schemas.openxmlformats.org/officeDocument/2006/relationships/hyperlink" Target="https://github.com/HexHive/magma/tree/master/targets/libxml2/patches/bugs/XML011.patch" TargetMode="External"/><Relationship Id="rId58" Type="http://schemas.openxmlformats.org/officeDocument/2006/relationships/hyperlink" Target="https://gitlab.gnome.org/GNOME/libxml2/-/issues/58" TargetMode="External"/><Relationship Id="rId123" Type="http://schemas.openxmlformats.org/officeDocument/2006/relationships/hyperlink" Target="https://github.com/HexHive/magma/tree/master/targets/openssl/patches/bugs/SSL003.patch" TargetMode="External"/><Relationship Id="rId330" Type="http://schemas.openxmlformats.org/officeDocument/2006/relationships/hyperlink" Target="https://cve.mitre.org/cgi-bin/cvename.cgi?name=CVE-2017-3730" TargetMode="External"/><Relationship Id="rId165" Type="http://schemas.openxmlformats.org/officeDocument/2006/relationships/hyperlink" Target="https://github.com/HexHive/magma/tree/master/targets/sqlite3/patches/bugs/SQL004.patch" TargetMode="External"/><Relationship Id="rId372" Type="http://schemas.openxmlformats.org/officeDocument/2006/relationships/hyperlink" Target="https://cve.mitre.org/cgi-bin/cvename.cgi?name=CVE-2017-14617" TargetMode="External"/><Relationship Id="rId232" Type="http://schemas.openxmlformats.org/officeDocument/2006/relationships/hyperlink" Target="https://cve.mitre.org/cgi-bin/cvename.cgi?name=CVE-2014-9496" TargetMode="External"/><Relationship Id="rId274" Type="http://schemas.openxmlformats.org/officeDocument/2006/relationships/hyperlink" Target="https://cve.mitre.org/cgi-bin/cvename.cgi?name=CVE-2015-0973" TargetMode="External"/><Relationship Id="rId27" Type="http://schemas.openxmlformats.org/officeDocument/2006/relationships/hyperlink" Target="https://github.com/HexHive/magma/tree/master/targets/libtiff/patches/bugs/TIF007.patch" TargetMode="External"/><Relationship Id="rId48" Type="http://schemas.openxmlformats.org/officeDocument/2006/relationships/hyperlink" Target="https://cve.mitre.org/cgi-bin/cvename.cgi?name=CVE-2017-7375" TargetMode="External"/><Relationship Id="rId69" Type="http://schemas.openxmlformats.org/officeDocument/2006/relationships/hyperlink" Target="https://github.com/HexHive/magma/tree/master/targets/libxml2/patches/bugs/XML014.patch" TargetMode="External"/><Relationship Id="rId113" Type="http://schemas.openxmlformats.org/officeDocument/2006/relationships/hyperlink" Target="https://github.com/HexHive/magma/tree/master/targets/poppler/patches/bugs/PDF019.patch" TargetMode="External"/><Relationship Id="rId134" Type="http://schemas.openxmlformats.org/officeDocument/2006/relationships/hyperlink" Target="https://cve.mitre.org/cgi-bin/cvename.cgi?name=CVE-2017-3730" TargetMode="External"/><Relationship Id="rId320" Type="http://schemas.openxmlformats.org/officeDocument/2006/relationships/hyperlink" Target="https://cve.mitre.org/cgi-bin/cvename.cgi?name=CVE-2016-1834" TargetMode="External"/><Relationship Id="rId80" Type="http://schemas.openxmlformats.org/officeDocument/2006/relationships/hyperlink" Target="https://cve.mitre.org/cgi-bin/cvename.cgi?name=CVE-2019-9959" TargetMode="External"/><Relationship Id="rId155" Type="http://schemas.openxmlformats.org/officeDocument/2006/relationships/hyperlink" Target="https://github.com/HexHive/magma/tree/master/targets/openssl/patches/bugs/SSL019.patch" TargetMode="External"/><Relationship Id="rId176" Type="http://schemas.openxmlformats.org/officeDocument/2006/relationships/hyperlink" Target="https://cve.mitre.org/cgi-bin/cvename.cgi?name=CVE-2017-2520" TargetMode="External"/><Relationship Id="rId197" Type="http://schemas.openxmlformats.org/officeDocument/2006/relationships/hyperlink" Target="https://github.com/HexHive/magma/tree/master/targets/sqlite3/patches/bugs/SQL020.patch" TargetMode="External"/><Relationship Id="rId341" Type="http://schemas.openxmlformats.org/officeDocument/2006/relationships/hyperlink" Target="https://github.com/HexHive/magma/tree/master/targets/php/patches/bugs/PHP007.patch" TargetMode="External"/><Relationship Id="rId362" Type="http://schemas.openxmlformats.org/officeDocument/2006/relationships/hyperlink" Target="https://github.com/HexHive/magma/tree/master/targets/php/patches/bugs/PHP016.patch" TargetMode="External"/><Relationship Id="rId383" Type="http://schemas.openxmlformats.org/officeDocument/2006/relationships/hyperlink" Target="https://github.com/HexHive/magma/tree/master/targets/lua/patches/bugs/LUA002.patch" TargetMode="External"/><Relationship Id="rId201" Type="http://schemas.openxmlformats.org/officeDocument/2006/relationships/hyperlink" Target="https://github.com/HexHive/magma/tree/master/targets/php/patches/bugs/PHP002.patch" TargetMode="External"/><Relationship Id="rId222" Type="http://schemas.openxmlformats.org/officeDocument/2006/relationships/hyperlink" Target="https://cve.mitre.org/cgi-bin/cvename.cgi?name=CVE-2018-7584" TargetMode="External"/><Relationship Id="rId243" Type="http://schemas.openxmlformats.org/officeDocument/2006/relationships/hyperlink" Target="https://github.com/HexHive/magma/tree/master/targets/libsndfile/patches/bugs/SND012.patch" TargetMode="External"/><Relationship Id="rId264" Type="http://schemas.openxmlformats.org/officeDocument/2006/relationships/hyperlink" Target="https://cve.mitre.org/cgi-bin/cvename.cgi?name=CVE-2018-19758" TargetMode="External"/><Relationship Id="rId285" Type="http://schemas.openxmlformats.org/officeDocument/2006/relationships/hyperlink" Target="https://github.com/HexHive/magma/tree/master/targets/libtiff/patches/bugs/TIF001.patch" TargetMode="External"/><Relationship Id="rId17" Type="http://schemas.openxmlformats.org/officeDocument/2006/relationships/hyperlink" Target="https://github.com/HexHive/magma/tree/master/targets/libtiff/patches/bugs/TIF002.patch" TargetMode="External"/><Relationship Id="rId38" Type="http://schemas.openxmlformats.org/officeDocument/2006/relationships/hyperlink" Target="https://cve.mitre.org/cgi-bin/cvename.cgi?name=CVE-2016-3658" TargetMode="External"/><Relationship Id="rId59" Type="http://schemas.openxmlformats.org/officeDocument/2006/relationships/hyperlink" Target="https://github.com/HexHive/magma/tree/master/targets/libxml2/patches/bugs/XML009.patch" TargetMode="External"/><Relationship Id="rId103" Type="http://schemas.openxmlformats.org/officeDocument/2006/relationships/hyperlink" Target="https://github.com/HexHive/magma/tree/master/targets/poppler/patches/bugs/PDF014.patch" TargetMode="External"/><Relationship Id="rId124" Type="http://schemas.openxmlformats.org/officeDocument/2006/relationships/hyperlink" Target="https://cve.mitre.org/cgi-bin/cvename.cgi?name=CVE-2016-2109" TargetMode="External"/><Relationship Id="rId310" Type="http://schemas.openxmlformats.org/officeDocument/2006/relationships/hyperlink" Target="https://cve.mitre.org/cgi-bin/cvename.cgi?name=CVE-2017-9047" TargetMode="External"/><Relationship Id="rId70" Type="http://schemas.openxmlformats.org/officeDocument/2006/relationships/hyperlink" Target="https://cve.mitre.org/cgi-bin/cvename.cgi?name=CVE-2016-1839" TargetMode="External"/><Relationship Id="rId91" Type="http://schemas.openxmlformats.org/officeDocument/2006/relationships/hyperlink" Target="https://github.com/HexHive/magma/tree/master/targets/poppler/patches/bugs/PDF008.patch" TargetMode="External"/><Relationship Id="rId145" Type="http://schemas.openxmlformats.org/officeDocument/2006/relationships/hyperlink" Target="https://github.com/HexHive/magma/tree/master/targets/openssl/patches/bugs/SSL014.patch" TargetMode="External"/><Relationship Id="rId166" Type="http://schemas.openxmlformats.org/officeDocument/2006/relationships/hyperlink" Target="https://cve.mitre.org/cgi-bin/cvename.cgi?name=CVE-2019-19959" TargetMode="External"/><Relationship Id="rId187" Type="http://schemas.openxmlformats.org/officeDocument/2006/relationships/hyperlink" Target="https://github.com/HexHive/magma/tree/master/targets/sqlite3/patches/bugs/SQL015.patch" TargetMode="External"/><Relationship Id="rId331" Type="http://schemas.openxmlformats.org/officeDocument/2006/relationships/hyperlink" Target="https://github.com/HexHive/magma/tree/master/targets/openssl/patches/bugs/SSL015.patch" TargetMode="External"/><Relationship Id="rId352" Type="http://schemas.openxmlformats.org/officeDocument/2006/relationships/hyperlink" Target="https://cve.mitre.org/cgi-bin/cvename.cgi?name=CVE-2018-20783" TargetMode="External"/><Relationship Id="rId373" Type="http://schemas.openxmlformats.org/officeDocument/2006/relationships/hyperlink" Target="https://github.com/HexHive/magma/tree/master/targets/poppler/patches/bugs/PDF022.patch" TargetMode="External"/><Relationship Id="rId394" Type="http://schemas.openxmlformats.org/officeDocument/2006/relationships/hyperlink" Target="https://github.com/HexHive/magma/tree/master/targets/lua/patches/bugs/LUA004.patch" TargetMode="External"/><Relationship Id="rId408" Type="http://schemas.openxmlformats.org/officeDocument/2006/relationships/comments" Target="../comments1.xml"/><Relationship Id="rId1" Type="http://schemas.openxmlformats.org/officeDocument/2006/relationships/hyperlink" Target="https://github.com/HexHive/magma/tree/master/targets/libpng/patches/bugs/PNG001.patch" TargetMode="External"/><Relationship Id="rId212" Type="http://schemas.openxmlformats.org/officeDocument/2006/relationships/hyperlink" Target="https://cve.mitre.org/cgi-bin/cvename.cgi?name=CVE-2018-20783" TargetMode="External"/><Relationship Id="rId233" Type="http://schemas.openxmlformats.org/officeDocument/2006/relationships/hyperlink" Target="https://github.com/HexHive/magma/tree/master/targets/libsndfile/patches/bugs/SND004.patch" TargetMode="External"/><Relationship Id="rId254" Type="http://schemas.openxmlformats.org/officeDocument/2006/relationships/hyperlink" Target="https://github.com/libsndfile/libsndfile/commit/a8ab5b3" TargetMode="External"/><Relationship Id="rId28" Type="http://schemas.openxmlformats.org/officeDocument/2006/relationships/hyperlink" Target="https://cve.mitre.org/cgi-bin/cvename.cgi?name=CVE-2016-10270" TargetMode="External"/><Relationship Id="rId49" Type="http://schemas.openxmlformats.org/officeDocument/2006/relationships/hyperlink" Target="https://github.com/HexHive/magma/tree/master/targets/libxml2/patches/bugs/XML004.patch" TargetMode="External"/><Relationship Id="rId114" Type="http://schemas.openxmlformats.org/officeDocument/2006/relationships/hyperlink" Target="https://cve.mitre.org/cgi-bin/cvename.cgi?name=CVE-2017-9776" TargetMode="External"/><Relationship Id="rId275" Type="http://schemas.openxmlformats.org/officeDocument/2006/relationships/hyperlink" Target="https://github.com/HexHive/magma/tree/master/targets/libpng/patches/bugs/PNG007.patch" TargetMode="External"/><Relationship Id="rId296" Type="http://schemas.openxmlformats.org/officeDocument/2006/relationships/hyperlink" Target="https://cve.mitre.org/cgi-bin/cvename.cgi?name=CVE-2016-9535" TargetMode="External"/><Relationship Id="rId300" Type="http://schemas.openxmlformats.org/officeDocument/2006/relationships/hyperlink" Target="https://cve.mitre.org/cgi-bin/cvename.cgi?name=CVE-2016-10270" TargetMode="External"/><Relationship Id="rId60" Type="http://schemas.openxmlformats.org/officeDocument/2006/relationships/hyperlink" Target="https://cve.mitre.org/cgi-bin/cvename.cgi?name=CVE-2015-8317" TargetMode="External"/><Relationship Id="rId81" Type="http://schemas.openxmlformats.org/officeDocument/2006/relationships/hyperlink" Target="https://github.com/HexHive/magma/tree/master/targets/poppler/patches/bugs/PDF003.patch" TargetMode="External"/><Relationship Id="rId135" Type="http://schemas.openxmlformats.org/officeDocument/2006/relationships/hyperlink" Target="https://github.com/HexHive/magma/tree/master/targets/openssl/patches/bugs/SSL009.patch" TargetMode="External"/><Relationship Id="rId156" Type="http://schemas.openxmlformats.org/officeDocument/2006/relationships/hyperlink" Target="https://cve.mitre.org/cgi-bin/cvename.cgi?name=CVE-2016-6305" TargetMode="External"/><Relationship Id="rId177" Type="http://schemas.openxmlformats.org/officeDocument/2006/relationships/hyperlink" Target="https://github.com/HexHive/magma/tree/master/targets/sqlite3/patches/bugs/SQL010.patch" TargetMode="External"/><Relationship Id="rId198" Type="http://schemas.openxmlformats.org/officeDocument/2006/relationships/hyperlink" Target="https://cve.mitre.org/cgi-bin/cvename.cgi?name=CVE-2019-19880" TargetMode="External"/><Relationship Id="rId321" Type="http://schemas.openxmlformats.org/officeDocument/2006/relationships/hyperlink" Target="https://github.com/HexHive/magma/tree/master/targets/libxml2/patches/bugs/XML013.patch" TargetMode="External"/><Relationship Id="rId342" Type="http://schemas.openxmlformats.org/officeDocument/2006/relationships/hyperlink" Target="https://cve.mitre.org/cgi-bin/cvename.cgi?name=CVE-2018-20783" TargetMode="External"/><Relationship Id="rId363" Type="http://schemas.openxmlformats.org/officeDocument/2006/relationships/hyperlink" Target="https://github.com/HexHive/magma/tree/master/targets/php/patches/bugs/PHP016.patch" TargetMode="External"/><Relationship Id="rId384" Type="http://schemas.openxmlformats.org/officeDocument/2006/relationships/hyperlink" Target="https://cve.mitre.org/cgi-bin/cvename.cgi?name=CVE-2020-24369" TargetMode="External"/><Relationship Id="rId202" Type="http://schemas.openxmlformats.org/officeDocument/2006/relationships/hyperlink" Target="https://cve.mitre.org/cgi-bin/cvename.cgi?name=CVE-2019-9641" TargetMode="External"/><Relationship Id="rId223" Type="http://schemas.openxmlformats.org/officeDocument/2006/relationships/hyperlink" Target="https://github.com/HexHive/magma/tree/master/targets/php/patches/bugs/PHP013.patch" TargetMode="External"/><Relationship Id="rId244" Type="http://schemas.openxmlformats.org/officeDocument/2006/relationships/hyperlink" Target="https://cve.mitre.org/cgi-bin/cvename.cgi?name=CVE-2017-12562" TargetMode="External"/><Relationship Id="rId18" Type="http://schemas.openxmlformats.org/officeDocument/2006/relationships/hyperlink" Target="https://cve.mitre.org/cgi-bin/cvename.cgi?name=CVE-2016-5314" TargetMode="External"/><Relationship Id="rId39" Type="http://schemas.openxmlformats.org/officeDocument/2006/relationships/hyperlink" Target="https://github.com/HexHive/magma/tree/master/targets/libtiff/patches/bugs/TIF013.patch" TargetMode="External"/><Relationship Id="rId265" Type="http://schemas.openxmlformats.org/officeDocument/2006/relationships/hyperlink" Target="https://github.com/HexHive/magma/tree/master/targets/libpng/patches/bugs/PNG002.patch" TargetMode="External"/><Relationship Id="rId286" Type="http://schemas.openxmlformats.org/officeDocument/2006/relationships/hyperlink" Target="https://github.com/HexHive/magma/tree/master/targets/libtiff/patches/bugs/TIF001.patch" TargetMode="External"/><Relationship Id="rId50" Type="http://schemas.openxmlformats.org/officeDocument/2006/relationships/hyperlink" Target="https://cve.mitre.org/cgi-bin/cvename.cgi?name=CVE-2018-14567" TargetMode="External"/><Relationship Id="rId104" Type="http://schemas.openxmlformats.org/officeDocument/2006/relationships/hyperlink" Target="https://cve.mitre.org/cgi-bin/cvename.cgi?name=CVE-2018-20481" TargetMode="External"/><Relationship Id="rId125" Type="http://schemas.openxmlformats.org/officeDocument/2006/relationships/hyperlink" Target="https://github.com/HexHive/magma/tree/master/targets/openssl/patches/bugs/SSL004.patch" TargetMode="External"/><Relationship Id="rId146" Type="http://schemas.openxmlformats.org/officeDocument/2006/relationships/hyperlink" Target="https://cve.mitre.org/cgi-bin/cvename.cgi?name=CVE-2015-0286" TargetMode="External"/><Relationship Id="rId167" Type="http://schemas.openxmlformats.org/officeDocument/2006/relationships/hyperlink" Target="https://github.com/HexHive/magma/tree/master/targets/sqlite3/patches/bugs/SQL005.patch" TargetMode="External"/><Relationship Id="rId188" Type="http://schemas.openxmlformats.org/officeDocument/2006/relationships/hyperlink" Target="https://cve.mitre.org/cgi-bin/cvename.cgi?name=CVE-2019-19317" TargetMode="External"/><Relationship Id="rId311" Type="http://schemas.openxmlformats.org/officeDocument/2006/relationships/hyperlink" Target="https://github.com/HexHive/magma/tree/master/targets/libxml2/patches/bugs/XML005.patch" TargetMode="External"/><Relationship Id="rId332" Type="http://schemas.openxmlformats.org/officeDocument/2006/relationships/hyperlink" Target="https://cve.mitre.org/cgi-bin/cvename.cgi?name=CVE-2015-0289" TargetMode="External"/><Relationship Id="rId353" Type="http://schemas.openxmlformats.org/officeDocument/2006/relationships/hyperlink" Target="https://github.com/HexHive/magma/tree/master/targets/php/patches/bugs/PHP015.patch" TargetMode="External"/><Relationship Id="rId374" Type="http://schemas.openxmlformats.org/officeDocument/2006/relationships/hyperlink" Target="https://cve.mitre.org/cgi-bin/cvename.cgi?name=CVE-2019-12493" TargetMode="External"/><Relationship Id="rId395" Type="http://schemas.openxmlformats.org/officeDocument/2006/relationships/hyperlink" Target="https://github.com/HexHive/magma/tree/master/targets/lua/patches/bugs/LUA004.patch" TargetMode="External"/><Relationship Id="rId409" Type="http://schemas.microsoft.com/office/2017/10/relationships/threadedComment" Target="../threadedComments/threadedComment1.xml"/><Relationship Id="rId71" Type="http://schemas.openxmlformats.org/officeDocument/2006/relationships/hyperlink" Target="https://github.com/HexHive/magma/tree/master/targets/libxml2/patches/bugs/XML015.patch" TargetMode="External"/><Relationship Id="rId92" Type="http://schemas.openxmlformats.org/officeDocument/2006/relationships/hyperlink" Target="https://bugs.freedesktop.org/show_bug.cgi?id=106061" TargetMode="External"/><Relationship Id="rId213" Type="http://schemas.openxmlformats.org/officeDocument/2006/relationships/hyperlink" Target="https://github.com/HexHive/magma/tree/master/targets/php/patches/bugs/PHP008.patch" TargetMode="External"/><Relationship Id="rId234" Type="http://schemas.openxmlformats.org/officeDocument/2006/relationships/hyperlink" Target="https://cve.mitre.org/cgi-bin/cvename.cgi?name=CVE-2014-9756" TargetMode="External"/><Relationship Id="rId2" Type="http://schemas.openxmlformats.org/officeDocument/2006/relationships/hyperlink" Target="https://cve.mitre.org/cgi-bin/cvename.cgi?name=CVE-2018-13785" TargetMode="External"/><Relationship Id="rId29" Type="http://schemas.openxmlformats.org/officeDocument/2006/relationships/hyperlink" Target="https://github.com/HexHive/magma/tree/master/targets/libtiff/patches/bugs/TIF008.patch" TargetMode="External"/><Relationship Id="rId255" Type="http://schemas.openxmlformats.org/officeDocument/2006/relationships/hyperlink" Target="https://github.com/HexHive/magma/tree/master/targets/libsndfile/patches/bugs/SND020.patch" TargetMode="External"/><Relationship Id="rId276" Type="http://schemas.openxmlformats.org/officeDocument/2006/relationships/hyperlink" Target="https://cve.mitre.org/cgi-bin/cvename.cgi?name=CVE-2013-6954" TargetMode="External"/><Relationship Id="rId297" Type="http://schemas.openxmlformats.org/officeDocument/2006/relationships/hyperlink" Target="https://cve.mitre.org/cgi-bin/cvename.cgi?name=CVE-2016-9535" TargetMode="External"/><Relationship Id="rId40" Type="http://schemas.openxmlformats.org/officeDocument/2006/relationships/hyperlink" Target="https://cve.mitre.org/cgi-bin/cvename.cgi?name=CVE-2018-18557" TargetMode="External"/><Relationship Id="rId115" Type="http://schemas.openxmlformats.org/officeDocument/2006/relationships/hyperlink" Target="https://github.com/HexHive/magma/tree/master/targets/poppler/patches/bugs/PDF020.patch" TargetMode="External"/><Relationship Id="rId136" Type="http://schemas.openxmlformats.org/officeDocument/2006/relationships/hyperlink" Target="https://cve.mitre.org/cgi-bin/cvename.cgi?name=CVE-2017-3735" TargetMode="External"/><Relationship Id="rId157" Type="http://schemas.openxmlformats.org/officeDocument/2006/relationships/hyperlink" Target="https://github.com/HexHive/magma/tree/master/targets/openssl/patches/bugs/SSL020.patch" TargetMode="External"/><Relationship Id="rId178" Type="http://schemas.openxmlformats.org/officeDocument/2006/relationships/hyperlink" Target="https://cve.mitre.org/cgi-bin/cvename.cgi?name=CVE-2017-2518" TargetMode="External"/><Relationship Id="rId301" Type="http://schemas.openxmlformats.org/officeDocument/2006/relationships/hyperlink" Target="https://github.com/HexHive/magma/tree/master/targets/libtiff/patches/bugs/TIF008.patch" TargetMode="External"/><Relationship Id="rId322" Type="http://schemas.openxmlformats.org/officeDocument/2006/relationships/hyperlink" Target="https://cve.mitre.org/cgi-bin/cvename.cgi?name=CVE-2016-1837" TargetMode="External"/><Relationship Id="rId343" Type="http://schemas.openxmlformats.org/officeDocument/2006/relationships/hyperlink" Target="https://github.com/HexHive/magma/tree/master/targets/php/patches/bugs/PHP007.patch" TargetMode="External"/><Relationship Id="rId364" Type="http://schemas.openxmlformats.org/officeDocument/2006/relationships/hyperlink" Target="https://github.com/HexHive/magma/tree/master/targets/php/patches/bugs/PHP016.patch" TargetMode="External"/><Relationship Id="rId61" Type="http://schemas.openxmlformats.org/officeDocument/2006/relationships/hyperlink" Target="https://github.com/HexHive/magma/tree/master/targets/libxml2/patches/bugs/XML010.patch" TargetMode="External"/><Relationship Id="rId82" Type="http://schemas.openxmlformats.org/officeDocument/2006/relationships/hyperlink" Target="https://cve.mitre.org/cgi-bin/cvename.cgi?name=CVE-2017-9865" TargetMode="External"/><Relationship Id="rId199" Type="http://schemas.openxmlformats.org/officeDocument/2006/relationships/hyperlink" Target="https://github.com/HexHive/magma/tree/master/targets/php/patches/bugs/PHP001.patch" TargetMode="External"/><Relationship Id="rId203" Type="http://schemas.openxmlformats.org/officeDocument/2006/relationships/hyperlink" Target="https://github.com/HexHive/magma/tree/master/targets/php/patches/bugs/PHP003.patch" TargetMode="External"/><Relationship Id="rId385" Type="http://schemas.openxmlformats.org/officeDocument/2006/relationships/hyperlink" Target="https://github.com/HexHive/magma/tree/master/targets/lua/patches/bugs/LUA003.patch" TargetMode="External"/><Relationship Id="rId19" Type="http://schemas.openxmlformats.org/officeDocument/2006/relationships/hyperlink" Target="https://github.com/HexHive/magma/tree/master/targets/libtiff/patches/bugs/TIF003.patch" TargetMode="External"/><Relationship Id="rId224" Type="http://schemas.openxmlformats.org/officeDocument/2006/relationships/hyperlink" Target="https://cve.mitre.org/cgi-bin/cvename.cgi?name=CVE-2017-11362" TargetMode="External"/><Relationship Id="rId245" Type="http://schemas.openxmlformats.org/officeDocument/2006/relationships/hyperlink" Target="https://github.com/HexHive/magma/tree/master/targets/libsndfile/patches/bugs/SND013.patch" TargetMode="External"/><Relationship Id="rId266" Type="http://schemas.openxmlformats.org/officeDocument/2006/relationships/hyperlink" Target="https://cve.mitre.org/cgi-bin/cvename.cgi?name=CVE-2019-7317" TargetMode="External"/><Relationship Id="rId287" Type="http://schemas.openxmlformats.org/officeDocument/2006/relationships/hyperlink" Target="https://github.com/HexHive/magma/tree/master/targets/libtiff/patches/bugs/TIF001.patch" TargetMode="External"/><Relationship Id="rId30" Type="http://schemas.openxmlformats.org/officeDocument/2006/relationships/hyperlink" Target="https://cve.mitre.org/cgi-bin/cvename.cgi?name=CVE-2015-8784" TargetMode="External"/><Relationship Id="rId105" Type="http://schemas.openxmlformats.org/officeDocument/2006/relationships/hyperlink" Target="https://github.com/HexHive/magma/tree/master/targets/poppler/patches/bugs/PDF015.patch" TargetMode="External"/><Relationship Id="rId126" Type="http://schemas.openxmlformats.org/officeDocument/2006/relationships/hyperlink" Target="https://cve.mitre.org/cgi-bin/cvename.cgi?name=CVE-2016-2176" TargetMode="External"/><Relationship Id="rId147" Type="http://schemas.openxmlformats.org/officeDocument/2006/relationships/hyperlink" Target="https://github.com/HexHive/magma/tree/master/targets/openssl/patches/bugs/SSL015.patch" TargetMode="External"/><Relationship Id="rId168" Type="http://schemas.openxmlformats.org/officeDocument/2006/relationships/hyperlink" Target="https://cve.mitre.org/cgi-bin/cvename.cgi?name=CVE-2019-19925" TargetMode="External"/><Relationship Id="rId312" Type="http://schemas.openxmlformats.org/officeDocument/2006/relationships/hyperlink" Target="https://cve.mitre.org/cgi-bin/cvename.cgi?name=CVE-2017-5130" TargetMode="External"/><Relationship Id="rId333" Type="http://schemas.openxmlformats.org/officeDocument/2006/relationships/hyperlink" Target="https://github.com/HexHive/magma/tree/master/targets/openssl/patches/bugs/SSL015.patch" TargetMode="External"/><Relationship Id="rId354" Type="http://schemas.openxmlformats.org/officeDocument/2006/relationships/hyperlink" Target="https://cve.mitre.org/cgi-bin/cvename.cgi?name=CVE-2016-10159" TargetMode="External"/><Relationship Id="rId51" Type="http://schemas.openxmlformats.org/officeDocument/2006/relationships/hyperlink" Target="https://github.com/HexHive/magma/tree/master/targets/libxml2/patches/bugs/XML005.patch" TargetMode="External"/><Relationship Id="rId72" Type="http://schemas.openxmlformats.org/officeDocument/2006/relationships/hyperlink" Target="https://hexhive.epfl.ch/magma/docs/bugs.html" TargetMode="External"/><Relationship Id="rId93" Type="http://schemas.openxmlformats.org/officeDocument/2006/relationships/hyperlink" Target="https://github.com/HexHive/magma/tree/master/targets/poppler/patches/bugs/PDF009.patch" TargetMode="External"/><Relationship Id="rId189" Type="http://schemas.openxmlformats.org/officeDocument/2006/relationships/hyperlink" Target="https://github.com/HexHive/magma/tree/master/targets/sqlite3/patches/bugs/SQL016.patch" TargetMode="External"/><Relationship Id="rId375" Type="http://schemas.openxmlformats.org/officeDocument/2006/relationships/hyperlink" Target="https://github.com/HexHive/magma/tree/master/targets/poppler/patches/bugs/PDF022.patch" TargetMode="External"/><Relationship Id="rId396" Type="http://schemas.openxmlformats.org/officeDocument/2006/relationships/hyperlink" Target="https://github.com/HexHive/magma/tree/master/targets/lua/patches/bugs/LUA004.patch" TargetMode="External"/><Relationship Id="rId3" Type="http://schemas.openxmlformats.org/officeDocument/2006/relationships/hyperlink" Target="https://github.com/HexHive/magma/tree/master/targets/libpng/patches/bugs/PNG002.patch" TargetMode="External"/><Relationship Id="rId214" Type="http://schemas.openxmlformats.org/officeDocument/2006/relationships/hyperlink" Target="https://cve.mitre.org/cgi-bin/cvename.cgi?name=CVE-2019-9022" TargetMode="External"/><Relationship Id="rId235" Type="http://schemas.openxmlformats.org/officeDocument/2006/relationships/hyperlink" Target="https://github.com/HexHive/magma/tree/master/targets/libsndfile/patches/bugs/SND005.patch" TargetMode="External"/><Relationship Id="rId256" Type="http://schemas.openxmlformats.org/officeDocument/2006/relationships/hyperlink" Target="https://github.com/libsndfile/libsndfile/commit/a8ab5b3" TargetMode="External"/><Relationship Id="rId277" Type="http://schemas.openxmlformats.org/officeDocument/2006/relationships/hyperlink" Target="https://github.com/HexHive/magma/tree/master/targets/libsndfile/patches/bugs/SND012.patch" TargetMode="External"/><Relationship Id="rId298" Type="http://schemas.openxmlformats.org/officeDocument/2006/relationships/hyperlink" Target="https://cve.mitre.org/cgi-bin/cvename.cgi?name=CVE-2016-9535" TargetMode="External"/><Relationship Id="rId400" Type="http://schemas.openxmlformats.org/officeDocument/2006/relationships/hyperlink" Target="https://cve.mitre.org/cgi-bin/cvename.cgi?name=CVE-2016-2108" TargetMode="External"/><Relationship Id="rId116" Type="http://schemas.openxmlformats.org/officeDocument/2006/relationships/hyperlink" Target="https://cve.mitre.org/cgi-bin/cvename.cgi?name=CVE-2017-18267" TargetMode="External"/><Relationship Id="rId137" Type="http://schemas.openxmlformats.org/officeDocument/2006/relationships/hyperlink" Target="https://github.com/HexHive/magma/tree/master/targets/openssl/patches/bugs/SSL010.patch" TargetMode="External"/><Relationship Id="rId158" Type="http://schemas.openxmlformats.org/officeDocument/2006/relationships/hyperlink" Target="https://cve.mitre.org/cgi-bin/cvename.cgi?name=CVE-2016-6302" TargetMode="External"/><Relationship Id="rId302" Type="http://schemas.openxmlformats.org/officeDocument/2006/relationships/hyperlink" Target="https://cve.mitre.org/cgi-bin/cvename.cgi?name=CVE-2015-8784" TargetMode="External"/><Relationship Id="rId323" Type="http://schemas.openxmlformats.org/officeDocument/2006/relationships/hyperlink" Target="https://github.com/HexHive/magma/tree/master/targets/libxml2/patches/bugs/XML013.patch" TargetMode="External"/><Relationship Id="rId344" Type="http://schemas.openxmlformats.org/officeDocument/2006/relationships/hyperlink" Target="https://cve.mitre.org/cgi-bin/cvename.cgi?name=CVE-2018-20783" TargetMode="External"/><Relationship Id="rId20" Type="http://schemas.openxmlformats.org/officeDocument/2006/relationships/hyperlink" Target="https://cve.mitre.org/cgi-bin/cvename.cgi?name=CVE-2016-10266" TargetMode="External"/><Relationship Id="rId41" Type="http://schemas.openxmlformats.org/officeDocument/2006/relationships/hyperlink" Target="https://github.com/HexHive/magma/tree/master/targets/libtiff/patches/bugs/TIF014.patch" TargetMode="External"/><Relationship Id="rId62" Type="http://schemas.openxmlformats.org/officeDocument/2006/relationships/hyperlink" Target="https://cve.mitre.org/cgi-bin/cvename.cgi?name=CVE-2016-4449" TargetMode="External"/><Relationship Id="rId83" Type="http://schemas.openxmlformats.org/officeDocument/2006/relationships/hyperlink" Target="https://github.com/HexHive/magma/tree/master/targets/poppler/patches/bugs/PDF004.patch" TargetMode="External"/><Relationship Id="rId179" Type="http://schemas.openxmlformats.org/officeDocument/2006/relationships/hyperlink" Target="https://github.com/HexHive/magma/tree/master/targets/sqlite3/patches/bugs/SQL011.patch" TargetMode="External"/><Relationship Id="rId365" Type="http://schemas.openxmlformats.org/officeDocument/2006/relationships/hyperlink" Target="https://cve.mitre.org/cgi-bin/cvename.cgi?name=CVE-2016-7414" TargetMode="External"/><Relationship Id="rId386" Type="http://schemas.openxmlformats.org/officeDocument/2006/relationships/hyperlink" Target="https://github.com/lua/lua/commit/1ecfbfa" TargetMode="External"/><Relationship Id="rId190" Type="http://schemas.openxmlformats.org/officeDocument/2006/relationships/hyperlink" Target="https://cve.mitre.org/cgi-bin/cvename.cgi?name=CVE-2015-3415" TargetMode="External"/><Relationship Id="rId204" Type="http://schemas.openxmlformats.org/officeDocument/2006/relationships/hyperlink" Target="https://cve.mitre.org/cgi-bin/cvename.cgi?name=CVE-2019-11041" TargetMode="External"/><Relationship Id="rId225" Type="http://schemas.openxmlformats.org/officeDocument/2006/relationships/hyperlink" Target="https://github.com/HexHive/magma/tree/master/targets/php/patches/bugs/PHP014.patch" TargetMode="External"/><Relationship Id="rId246" Type="http://schemas.openxmlformats.org/officeDocument/2006/relationships/hyperlink" Target="https://cve.mitre.org/cgi-bin/cvename.cgi?name=CVE-2017-12562" TargetMode="External"/><Relationship Id="rId267" Type="http://schemas.openxmlformats.org/officeDocument/2006/relationships/hyperlink" Target="https://github.com/HexHive/magma/tree/master/targets/libpng/patches/bugs/PNG002.patch" TargetMode="External"/><Relationship Id="rId288" Type="http://schemas.openxmlformats.org/officeDocument/2006/relationships/hyperlink" Target="https://github.com/HexHive/magma/tree/master/targets/libtiff/patches/bugs/TIF001.patch" TargetMode="External"/><Relationship Id="rId106" Type="http://schemas.openxmlformats.org/officeDocument/2006/relationships/hyperlink" Target="https://cve.mitre.org/cgi-bin/cvename.cgi?name=CVE-2018-19058" TargetMode="External"/><Relationship Id="rId127" Type="http://schemas.openxmlformats.org/officeDocument/2006/relationships/hyperlink" Target="https://github.com/HexHive/magma/tree/master/targets/openssl/patches/bugs/SSL005.patch" TargetMode="External"/><Relationship Id="rId313" Type="http://schemas.openxmlformats.org/officeDocument/2006/relationships/hyperlink" Target="https://github.com/HexHive/magma/tree/master/targets/libxml2/patches/bugs/XML005.patch" TargetMode="External"/><Relationship Id="rId10" Type="http://schemas.openxmlformats.org/officeDocument/2006/relationships/hyperlink" Target="https://cve.mitre.org/cgi-bin/cvename.cgi?name=CVE-2014-9495" TargetMode="External"/><Relationship Id="rId31" Type="http://schemas.openxmlformats.org/officeDocument/2006/relationships/hyperlink" Target="https://github.com/HexHive/magma/tree/master/targets/libtiff/patches/bugs/TIF009.patch" TargetMode="External"/><Relationship Id="rId52" Type="http://schemas.openxmlformats.org/officeDocument/2006/relationships/hyperlink" Target="https://cve.mitre.org/cgi-bin/cvename.cgi?name=CVE-2017-5130" TargetMode="External"/><Relationship Id="rId73" Type="http://schemas.openxmlformats.org/officeDocument/2006/relationships/hyperlink" Target="https://github.com/HexHive/magma/tree/master/targets/libxml2/patches/bugs/XML016.patch" TargetMode="External"/><Relationship Id="rId94" Type="http://schemas.openxmlformats.org/officeDocument/2006/relationships/hyperlink" Target="https://bugs.chromium.org/p/oss-fuzz/issues/detail?id=8499" TargetMode="External"/><Relationship Id="rId148" Type="http://schemas.openxmlformats.org/officeDocument/2006/relationships/hyperlink" Target="https://cve.mitre.org/cgi-bin/cvename.cgi?name=CVE-2015-0289" TargetMode="External"/><Relationship Id="rId169" Type="http://schemas.openxmlformats.org/officeDocument/2006/relationships/hyperlink" Target="https://github.com/HexHive/magma/tree/master/targets/sqlite3/patches/bugs/SQL006.patch" TargetMode="External"/><Relationship Id="rId334" Type="http://schemas.openxmlformats.org/officeDocument/2006/relationships/hyperlink" Target="https://cve.mitre.org/cgi-bin/cvename.cgi?name=CVE-2015-0289" TargetMode="External"/><Relationship Id="rId355" Type="http://schemas.openxmlformats.org/officeDocument/2006/relationships/hyperlink" Target="https://github.com/HexHive/magma/tree/master/targets/php/patches/bugs/PHP010.patch" TargetMode="External"/><Relationship Id="rId376" Type="http://schemas.openxmlformats.org/officeDocument/2006/relationships/hyperlink" Target="https://cve.mitre.org/cgi-bin/cvename.cgi?name=CVE-2019-12493" TargetMode="External"/><Relationship Id="rId397" Type="http://schemas.openxmlformats.org/officeDocument/2006/relationships/hyperlink" Target="https://cve.mitre.org/cgi-bin/cvename.cgi?name=CVE-2020-15945" TargetMode="External"/><Relationship Id="rId4" Type="http://schemas.openxmlformats.org/officeDocument/2006/relationships/hyperlink" Target="https://cve.mitre.org/cgi-bin/cvename.cgi?name=CVE-2019-7317" TargetMode="External"/><Relationship Id="rId180" Type="http://schemas.openxmlformats.org/officeDocument/2006/relationships/hyperlink" Target="https://cve.mitre.org/cgi-bin/cvename.cgi?name=CVE-2017-10989" TargetMode="External"/><Relationship Id="rId215" Type="http://schemas.openxmlformats.org/officeDocument/2006/relationships/hyperlink" Target="https://github.com/HexHive/magma/tree/master/targets/php/patches/bugs/PHP009.patch" TargetMode="External"/><Relationship Id="rId236" Type="http://schemas.openxmlformats.org/officeDocument/2006/relationships/hyperlink" Target="https://cve.mitre.org/cgi-bin/cvename.cgi?name=CVE-2017-6892" TargetMode="External"/><Relationship Id="rId257" Type="http://schemas.openxmlformats.org/officeDocument/2006/relationships/hyperlink" Target="https://github.com/HexHive/magma/tree/master/targets/libsndfile/patches/bugs/SND022.patch" TargetMode="External"/><Relationship Id="rId278" Type="http://schemas.openxmlformats.org/officeDocument/2006/relationships/hyperlink" Target="https://cve.mitre.org/cgi-bin/cvename.cgi?name=CVE-2017-12562" TargetMode="External"/><Relationship Id="rId401" Type="http://schemas.openxmlformats.org/officeDocument/2006/relationships/hyperlink" Target="https://cve.mitre.org/cgi-bin/cvename.cgi?name=CVE-2020-15945" TargetMode="External"/><Relationship Id="rId303" Type="http://schemas.openxmlformats.org/officeDocument/2006/relationships/hyperlink" Target="https://github.com/HexHive/magma/tree/master/targets/libtiff/patches/bugs/TIF009.patch" TargetMode="External"/><Relationship Id="rId42" Type="http://schemas.openxmlformats.org/officeDocument/2006/relationships/hyperlink" Target="https://cve.mitre.org/cgi-bin/cvename.cgi?name=CVE-2017-11613" TargetMode="External"/><Relationship Id="rId84" Type="http://schemas.openxmlformats.org/officeDocument/2006/relationships/hyperlink" Target="https://cve.mitre.org/cgi-bin/cvename.cgi?name=CVE-2019-10873" TargetMode="External"/><Relationship Id="rId138" Type="http://schemas.openxmlformats.org/officeDocument/2006/relationships/hyperlink" Target="https://cve.mitre.org/cgi-bin/cvename.cgi?name=CVE-2016-0797" TargetMode="External"/><Relationship Id="rId345" Type="http://schemas.openxmlformats.org/officeDocument/2006/relationships/hyperlink" Target="https://github.com/HexHive/magma/tree/master/targets/php/patches/bugs/PHP007.patch" TargetMode="External"/><Relationship Id="rId387" Type="http://schemas.openxmlformats.org/officeDocument/2006/relationships/hyperlink" Target="https://github.com/HexHive/magma/tree/master/targets/lua/patches/bugs/LUA004.patch" TargetMode="External"/><Relationship Id="rId191" Type="http://schemas.openxmlformats.org/officeDocument/2006/relationships/hyperlink" Target="https://github.com/HexHive/magma/tree/master/targets/sqlite3/patches/bugs/SQL017.patch" TargetMode="External"/><Relationship Id="rId205" Type="http://schemas.openxmlformats.org/officeDocument/2006/relationships/hyperlink" Target="https://github.com/HexHive/magma/tree/master/targets/php/patches/bugs/PHP004.patch" TargetMode="External"/><Relationship Id="rId247" Type="http://schemas.openxmlformats.org/officeDocument/2006/relationships/hyperlink" Target="https://github.com/HexHive/magma/tree/master/targets/libsndfile/patches/bugs/SND014.patch" TargetMode="External"/><Relationship Id="rId107" Type="http://schemas.openxmlformats.org/officeDocument/2006/relationships/hyperlink" Target="https://github.com/HexHive/magma/tree/master/targets/poppler/patches/bugs/PDF016.patch" TargetMode="External"/><Relationship Id="rId289" Type="http://schemas.openxmlformats.org/officeDocument/2006/relationships/hyperlink" Target="https://github.com/HexHive/magma/tree/master/targets/libtiff/patches/bugs/TIF001.patch" TargetMode="External"/><Relationship Id="rId11" Type="http://schemas.openxmlformats.org/officeDocument/2006/relationships/hyperlink" Target="https://github.com/HexHive/magma/tree/master/targets/libpng/patches/bugs/PNG006.patch" TargetMode="External"/><Relationship Id="rId53" Type="http://schemas.openxmlformats.org/officeDocument/2006/relationships/hyperlink" Target="https://github.com/HexHive/magma/tree/master/targets/libxml2/patches/bugs/XML006.patch" TargetMode="External"/><Relationship Id="rId149" Type="http://schemas.openxmlformats.org/officeDocument/2006/relationships/hyperlink" Target="https://github.com/HexHive/magma/tree/master/targets/openssl/patches/bugs/SSL016.patch" TargetMode="External"/><Relationship Id="rId314" Type="http://schemas.openxmlformats.org/officeDocument/2006/relationships/hyperlink" Target="https://cve.mitre.org/cgi-bin/cvename.cgi?name=CVE-2017-5130" TargetMode="External"/><Relationship Id="rId356" Type="http://schemas.openxmlformats.org/officeDocument/2006/relationships/hyperlink" Target="https://cve.mitre.org/cgi-bin/cvename.cgi?name=CVE-2019-9640" TargetMode="External"/><Relationship Id="rId398" Type="http://schemas.openxmlformats.org/officeDocument/2006/relationships/hyperlink" Target="https://cve.mitre.org/cgi-bin/cvename.cgi?name=CVE-2020-15945" TargetMode="External"/><Relationship Id="rId95" Type="http://schemas.openxmlformats.org/officeDocument/2006/relationships/hyperlink" Target="https://github.com/HexHive/magma/tree/master/targets/poppler/patches/bugs/PDF010.patch" TargetMode="External"/><Relationship Id="rId160" Type="http://schemas.openxmlformats.org/officeDocument/2006/relationships/hyperlink" Target="https://cve.mitre.org/cgi-bin/cvename.cgi?name=CVE-2019-9936" TargetMode="External"/><Relationship Id="rId216" Type="http://schemas.openxmlformats.org/officeDocument/2006/relationships/hyperlink" Target="https://cve.mitre.org/cgi-bin/cvename.cgi?name=CVE-2019-9638" TargetMode="External"/><Relationship Id="rId258" Type="http://schemas.openxmlformats.org/officeDocument/2006/relationships/hyperlink" Target="https://cve.mitre.org/cgi-bin/cvename.cgi?name=CVE-2017-14246" TargetMode="External"/><Relationship Id="rId22" Type="http://schemas.openxmlformats.org/officeDocument/2006/relationships/hyperlink" Target="https://cve.mitre.org/cgi-bin/cvename.cgi?name=CVE-2016-10267" TargetMode="External"/><Relationship Id="rId64" Type="http://schemas.openxmlformats.org/officeDocument/2006/relationships/hyperlink" Target="https://cve.mitre.org/cgi-bin/cvename.cgi?name=CVE-2016-1834" TargetMode="External"/><Relationship Id="rId118" Type="http://schemas.openxmlformats.org/officeDocument/2006/relationships/hyperlink" Target="https://cve.mitre.org/cgi-bin/cvename.cgi?name=CVE-2017-14617" TargetMode="External"/><Relationship Id="rId325" Type="http://schemas.openxmlformats.org/officeDocument/2006/relationships/hyperlink" Target="https://github.com/HexHive/magma/tree/master/targets/libxml2/patches/bugs/XML013.patch" TargetMode="External"/><Relationship Id="rId367" Type="http://schemas.openxmlformats.org/officeDocument/2006/relationships/hyperlink" Target="https://cve.mitre.org/cgi-bin/cvename.cgi?name=CVE-2016-7414" TargetMode="External"/><Relationship Id="rId171" Type="http://schemas.openxmlformats.org/officeDocument/2006/relationships/hyperlink" Target="https://github.com/HexHive/magma/tree/master/targets/sqlite3/patches/bugs/SQL007.patch" TargetMode="External"/><Relationship Id="rId227" Type="http://schemas.openxmlformats.org/officeDocument/2006/relationships/hyperlink" Target="https://github.com/HexHive/magma/tree/master/targets/php/patches/bugs/PHP015.patch" TargetMode="External"/><Relationship Id="rId269" Type="http://schemas.openxmlformats.org/officeDocument/2006/relationships/hyperlink" Target="https://github.com/HexHive/magma/tree/master/targets/libpng/patches/bugs/PNG003.patch" TargetMode="External"/><Relationship Id="rId33" Type="http://schemas.openxmlformats.org/officeDocument/2006/relationships/hyperlink" Target="https://github.com/HexHive/magma/tree/master/targets/libtiff/patches/bugs/TIF010.patch" TargetMode="External"/><Relationship Id="rId129" Type="http://schemas.openxmlformats.org/officeDocument/2006/relationships/hyperlink" Target="https://github.com/HexHive/magma/tree/master/targets/openssl/patches/bugs/SSL006.patch" TargetMode="External"/><Relationship Id="rId280" Type="http://schemas.openxmlformats.org/officeDocument/2006/relationships/hyperlink" Target="https://cve.mitre.org/cgi-bin/cvename.cgi?name=CVE-2017-12562" TargetMode="External"/><Relationship Id="rId336" Type="http://schemas.openxmlformats.org/officeDocument/2006/relationships/hyperlink" Target="https://cve.mitre.org/cgi-bin/cvename.cgi?name=CVE-2015-0289" TargetMode="External"/><Relationship Id="rId75" Type="http://schemas.openxmlformats.org/officeDocument/2006/relationships/hyperlink" Target="https://github.com/HexHive/magma/tree/master/targets/libxml2/patches/bugs/XML017.patch" TargetMode="External"/><Relationship Id="rId140" Type="http://schemas.openxmlformats.org/officeDocument/2006/relationships/hyperlink" Target="https://cve.mitre.org/cgi-bin/cvename.cgi?name=CVE-2015-1790" TargetMode="External"/><Relationship Id="rId182" Type="http://schemas.openxmlformats.org/officeDocument/2006/relationships/hyperlink" Target="https://cve.mitre.org/cgi-bin/cvename.cgi?name=CVE-2019-19646" TargetMode="External"/><Relationship Id="rId378" Type="http://schemas.openxmlformats.org/officeDocument/2006/relationships/hyperlink" Target="https://cve.mitre.org/cgi-bin/cvename.cgi?name=CVE-2019-12360" TargetMode="External"/><Relationship Id="rId403" Type="http://schemas.openxmlformats.org/officeDocument/2006/relationships/hyperlink" Target="https://cve.mitre.org/cgi-bin/cvename.cgi?name=CVE-2020-15945" TargetMode="External"/><Relationship Id="rId6" Type="http://schemas.openxmlformats.org/officeDocument/2006/relationships/hyperlink" Target="https://cve.mitre.org/cgi-bin/cvename.cgi?name=CVE-2015-8472" TargetMode="External"/><Relationship Id="rId238" Type="http://schemas.openxmlformats.org/officeDocument/2006/relationships/hyperlink" Target="https://cve.mitre.org/cgi-bin/cvename.cgi?name=CVE-2017-8361" TargetMode="External"/><Relationship Id="rId291" Type="http://schemas.openxmlformats.org/officeDocument/2006/relationships/hyperlink" Target="https://cve.mitre.org/cgi-bin/cvename.cgi?name=CVE-2016-9535" TargetMode="External"/><Relationship Id="rId305" Type="http://schemas.openxmlformats.org/officeDocument/2006/relationships/hyperlink" Target="https://github.com/HexHive/magma/tree/master/targets/libtiff/patches/bugs/TIF012.patch" TargetMode="External"/><Relationship Id="rId347" Type="http://schemas.openxmlformats.org/officeDocument/2006/relationships/hyperlink" Target="https://github.com/HexHive/magma/tree/master/targets/php/patches/bugs/PHP007.patch" TargetMode="External"/><Relationship Id="rId44" Type="http://schemas.openxmlformats.org/officeDocument/2006/relationships/hyperlink" Target="https://cve.mitre.org/cgi-bin/cvename.cgi?name=CVE-2017-9047" TargetMode="External"/><Relationship Id="rId86" Type="http://schemas.openxmlformats.org/officeDocument/2006/relationships/hyperlink" Target="https://cve.mitre.org/cgi-bin/cvename.cgi?name=CVE-2019-12293" TargetMode="External"/><Relationship Id="rId151" Type="http://schemas.openxmlformats.org/officeDocument/2006/relationships/hyperlink" Target="https://github.com/HexHive/magma/tree/master/targets/openssl/patches/bugs/SSL017.patch" TargetMode="External"/><Relationship Id="rId389" Type="http://schemas.openxmlformats.org/officeDocument/2006/relationships/hyperlink" Target="https://github.com/HexHive/magma/tree/master/targets/lua/patches/bugs/LUA004.patch" TargetMode="External"/><Relationship Id="rId193" Type="http://schemas.openxmlformats.org/officeDocument/2006/relationships/hyperlink" Target="https://github.com/HexHive/magma/tree/master/targets/sqlite3/patches/bugs/SQL018.patch" TargetMode="External"/><Relationship Id="rId207" Type="http://schemas.openxmlformats.org/officeDocument/2006/relationships/hyperlink" Target="https://github.com/HexHive/magma/tree/master/targets/php/patches/bugs/PHP005.patch" TargetMode="External"/><Relationship Id="rId249" Type="http://schemas.openxmlformats.org/officeDocument/2006/relationships/hyperlink" Target="https://github.com/HexHive/magma/tree/master/targets/libsndfile/patches/bugs/SND015.patch" TargetMode="External"/><Relationship Id="rId13" Type="http://schemas.openxmlformats.org/officeDocument/2006/relationships/hyperlink" Target="https://github.com/HexHive/magma/tree/master/targets/libpng/patches/bugs/PNG007.patch" TargetMode="External"/><Relationship Id="rId109" Type="http://schemas.openxmlformats.org/officeDocument/2006/relationships/hyperlink" Target="https://github.com/HexHive/magma/tree/master/targets/poppler/patches/bugs/PDF017.patch" TargetMode="External"/><Relationship Id="rId260" Type="http://schemas.openxmlformats.org/officeDocument/2006/relationships/hyperlink" Target="https://cve.mitre.org/cgi-bin/cvename.cgi?name=CVE-2018-19661" TargetMode="External"/><Relationship Id="rId316" Type="http://schemas.openxmlformats.org/officeDocument/2006/relationships/hyperlink" Target="https://cve.mitre.org/cgi-bin/cvename.cgi?name=CVE-2017-5130" TargetMode="External"/><Relationship Id="rId55" Type="http://schemas.openxmlformats.org/officeDocument/2006/relationships/hyperlink" Target="https://github.com/HexHive/magma/tree/master/targets/libxml2/patches/bugs/XML007.patch" TargetMode="External"/><Relationship Id="rId97" Type="http://schemas.openxmlformats.org/officeDocument/2006/relationships/hyperlink" Target="https://github.com/HexHive/magma/tree/master/targets/poppler/patches/bugs/PDF011.patch" TargetMode="External"/><Relationship Id="rId120" Type="http://schemas.openxmlformats.org/officeDocument/2006/relationships/hyperlink" Target="https://cve.mitre.org/cgi-bin/cvename.cgi?name=CVE-2019-12493" TargetMode="External"/><Relationship Id="rId358" Type="http://schemas.openxmlformats.org/officeDocument/2006/relationships/hyperlink" Target="https://cve.mitre.org/cgi-bin/cvename.cgi?name=CVE-2019-9640" TargetMode="External"/><Relationship Id="rId162" Type="http://schemas.openxmlformats.org/officeDocument/2006/relationships/hyperlink" Target="https://cve.mitre.org/cgi-bin/cvename.cgi?name=CVE-2019-20218" TargetMode="External"/><Relationship Id="rId218" Type="http://schemas.openxmlformats.org/officeDocument/2006/relationships/hyperlink" Target="https://cve.mitre.org/cgi-bin/cvename.cgi?name=CVE-2019-9640" TargetMode="External"/><Relationship Id="rId271" Type="http://schemas.openxmlformats.org/officeDocument/2006/relationships/hyperlink" Target="https://github.com/HexHive/magma/tree/master/targets/libpng/patches/bugs/PNG004.patch" TargetMode="External"/><Relationship Id="rId24" Type="http://schemas.openxmlformats.org/officeDocument/2006/relationships/hyperlink" Target="https://cve.mitre.org/cgi-bin/cvename.cgi?name=CVE-2016-10269" TargetMode="External"/><Relationship Id="rId66" Type="http://schemas.openxmlformats.org/officeDocument/2006/relationships/hyperlink" Target="https://cve.mitre.org/cgi-bin/cvename.cgi?name=CVE-2016-1836" TargetMode="External"/><Relationship Id="rId131" Type="http://schemas.openxmlformats.org/officeDocument/2006/relationships/hyperlink" Target="https://github.com/HexHive/magma/tree/master/targets/openssl/patches/bugs/SSL007.patch" TargetMode="External"/><Relationship Id="rId327" Type="http://schemas.openxmlformats.org/officeDocument/2006/relationships/hyperlink" Target="https://github.com/HexHive/magma/tree/master/targets/libxml2/patches/bugs/XML016.patch" TargetMode="External"/><Relationship Id="rId369" Type="http://schemas.openxmlformats.org/officeDocument/2006/relationships/hyperlink" Target="https://github.com/HexHive/magma/tree/master/targets/poppler/patches/bugs/PDF003.patch" TargetMode="External"/><Relationship Id="rId173" Type="http://schemas.openxmlformats.org/officeDocument/2006/relationships/hyperlink" Target="https://github.com/HexHive/magma/tree/master/targets/sqlite3/patches/bugs/SQL008.patch" TargetMode="External"/><Relationship Id="rId229" Type="http://schemas.openxmlformats.org/officeDocument/2006/relationships/hyperlink" Target="https://github.com/HexHive/magma/tree/master/targets/libsndfile/patches/bugs/SND001.patch" TargetMode="External"/><Relationship Id="rId380" Type="http://schemas.openxmlformats.org/officeDocument/2006/relationships/hyperlink" Target="https://cve.mitre.org/cgi-bin/cvename.cgi?name=CVE-2017-18267" TargetMode="External"/><Relationship Id="rId240" Type="http://schemas.openxmlformats.org/officeDocument/2006/relationships/hyperlink" Target="https://cve.mitre.org/cgi-bin/cvename.cgi?name=CVE-2017-8363" TargetMode="External"/><Relationship Id="rId35" Type="http://schemas.openxmlformats.org/officeDocument/2006/relationships/hyperlink" Target="https://github.com/HexHive/magma/tree/master/targets/libtiff/patches/bugs/TIF011.patch" TargetMode="External"/><Relationship Id="rId77" Type="http://schemas.openxmlformats.org/officeDocument/2006/relationships/hyperlink" Target="https://github.com/HexHive/magma/tree/master/targets/poppler/patches/bugs/PDF001.patch" TargetMode="External"/><Relationship Id="rId100" Type="http://schemas.openxmlformats.org/officeDocument/2006/relationships/hyperlink" Target="https://cve.mitre.org/cgi-bin/cvename.cgi?name=CVE-2018-21009" TargetMode="External"/><Relationship Id="rId282" Type="http://schemas.openxmlformats.org/officeDocument/2006/relationships/hyperlink" Target="https://cve.mitre.org/cgi-bin/cvename.cgi?name=CVE-2016-9535" TargetMode="External"/><Relationship Id="rId338" Type="http://schemas.openxmlformats.org/officeDocument/2006/relationships/hyperlink" Target="https://cve.mitre.org/cgi-bin/cvename.cgi?name=CVE-2015-1790" TargetMode="External"/><Relationship Id="rId8" Type="http://schemas.openxmlformats.org/officeDocument/2006/relationships/hyperlink" Target="https://cve.mitre.org/cgi-bin/cvename.cgi?name=CVE-2015-0973" TargetMode="External"/><Relationship Id="rId142" Type="http://schemas.openxmlformats.org/officeDocument/2006/relationships/hyperlink" Target="https://cve.mitre.org/cgi-bin/cvename.cgi?name=CVE-2015-0288" TargetMode="External"/><Relationship Id="rId184" Type="http://schemas.openxmlformats.org/officeDocument/2006/relationships/hyperlink" Target="https://cve.mitre.org/cgi-bin/cvename.cgi?name=CVE-2013-7443" TargetMode="External"/><Relationship Id="rId391" Type="http://schemas.openxmlformats.org/officeDocument/2006/relationships/hyperlink" Target="https://github.com/HexHive/magma/tree/master/targets/lua/patches/bugs/LUA004.patch" TargetMode="External"/><Relationship Id="rId405" Type="http://schemas.openxmlformats.org/officeDocument/2006/relationships/hyperlink" Target="https://cve.mitre.org/cgi-bin/cvename.cgi?name=CVE-2020-15945" TargetMode="External"/><Relationship Id="rId251" Type="http://schemas.openxmlformats.org/officeDocument/2006/relationships/hyperlink" Target="https://github.com/HexHive/magma/tree/master/targets/libsndfile/patches/bugs/SND016.patch" TargetMode="External"/><Relationship Id="rId46" Type="http://schemas.openxmlformats.org/officeDocument/2006/relationships/hyperlink" Target="https://cve.mitre.org/cgi-bin/cvename.cgi?name=CVE-2017-0663" TargetMode="External"/><Relationship Id="rId293" Type="http://schemas.openxmlformats.org/officeDocument/2006/relationships/hyperlink" Target="https://cve.mitre.org/cgi-bin/cvename.cgi?name=CVE-2016-9535" TargetMode="External"/><Relationship Id="rId307" Type="http://schemas.openxmlformats.org/officeDocument/2006/relationships/hyperlink" Target="https://github.com/HexHive/magma/tree/master/targets/libxml2/patches/bugs/XML001.patch" TargetMode="External"/><Relationship Id="rId349" Type="http://schemas.openxmlformats.org/officeDocument/2006/relationships/hyperlink" Target="https://github.com/HexHive/magma/tree/master/targets/php/patches/bugs/PHP007.patch" TargetMode="External"/><Relationship Id="rId88" Type="http://schemas.openxmlformats.org/officeDocument/2006/relationships/hyperlink" Target="https://cve.mitre.org/cgi-bin/cvename.cgi?name=CVE-2019-10872" TargetMode="External"/><Relationship Id="rId111" Type="http://schemas.openxmlformats.org/officeDocument/2006/relationships/hyperlink" Target="https://github.com/HexHive/magma/tree/master/targets/poppler/patches/bugs/PDF018.patch" TargetMode="External"/><Relationship Id="rId153" Type="http://schemas.openxmlformats.org/officeDocument/2006/relationships/hyperlink" Target="https://github.com/HexHive/magma/tree/master/targets/openssl/patches/bugs/SSL018.patch" TargetMode="External"/><Relationship Id="rId195" Type="http://schemas.openxmlformats.org/officeDocument/2006/relationships/hyperlink" Target="https://github.com/HexHive/magma/tree/master/targets/sqlite3/patches/bugs/SQL019.patch" TargetMode="External"/><Relationship Id="rId209" Type="http://schemas.openxmlformats.org/officeDocument/2006/relationships/hyperlink" Target="https://github.com/HexHive/magma/tree/master/targets/php/patches/bugs/PHP006.patch" TargetMode="External"/><Relationship Id="rId360" Type="http://schemas.openxmlformats.org/officeDocument/2006/relationships/hyperlink" Target="https://cve.mitre.org/cgi-bin/cvename.cgi?name=CVE-2016-7414" TargetMode="External"/><Relationship Id="rId220" Type="http://schemas.openxmlformats.org/officeDocument/2006/relationships/hyperlink" Target="https://cve.mitre.org/cgi-bin/cvename.cgi?name=CVE-2018-14883" TargetMode="External"/><Relationship Id="rId15" Type="http://schemas.openxmlformats.org/officeDocument/2006/relationships/hyperlink" Target="https://github.com/HexHive/magma/tree/master/targets/libtiff/patches/bugs/TIF001.patch" TargetMode="External"/><Relationship Id="rId57" Type="http://schemas.openxmlformats.org/officeDocument/2006/relationships/hyperlink" Target="https://github.com/HexHive/magma/tree/master/targets/libxml2/patches/bugs/XML008.patch" TargetMode="External"/><Relationship Id="rId262" Type="http://schemas.openxmlformats.org/officeDocument/2006/relationships/hyperlink" Target="https://cve.mitre.org/cgi-bin/cvename.cgi?name=CVE-2017-8363" TargetMode="External"/><Relationship Id="rId318" Type="http://schemas.openxmlformats.org/officeDocument/2006/relationships/hyperlink" Target="https://cve.mitre.org/cgi-bin/cvename.cgi?name=CVE-2016-1834" TargetMode="External"/><Relationship Id="rId99" Type="http://schemas.openxmlformats.org/officeDocument/2006/relationships/hyperlink" Target="https://github.com/HexHive/magma/tree/master/targets/poppler/patches/bugs/PDF012.patch" TargetMode="External"/><Relationship Id="rId122" Type="http://schemas.openxmlformats.org/officeDocument/2006/relationships/hyperlink" Target="https://cve.mitre.org/cgi-bin/cvename.cgi?name=CVE-2016-6309" TargetMode="External"/><Relationship Id="rId164" Type="http://schemas.openxmlformats.org/officeDocument/2006/relationships/hyperlink" Target="https://cve.mitre.org/cgi-bin/cvename.cgi?name=CVE-2019-19923" TargetMode="External"/><Relationship Id="rId371" Type="http://schemas.openxmlformats.org/officeDocument/2006/relationships/hyperlink" Target="https://github.com/HexHive/magma/tree/master/targets/poppler/patches/bugs/PDF021.patch" TargetMode="External"/><Relationship Id="rId26" Type="http://schemas.openxmlformats.org/officeDocument/2006/relationships/hyperlink" Target="https://cve.mitre.org/cgi-bin/cvename.cgi?name=CVE-2016-10269" TargetMode="External"/><Relationship Id="rId231" Type="http://schemas.openxmlformats.org/officeDocument/2006/relationships/hyperlink" Target="https://github.com/HexHive/magma/tree/master/targets/libsndfile/patches/bugs/SND002.patch" TargetMode="External"/><Relationship Id="rId273" Type="http://schemas.openxmlformats.org/officeDocument/2006/relationships/hyperlink" Target="https://github.com/HexHive/magma/tree/master/targets/libpng/patches/bugs/PNG004.patch" TargetMode="External"/><Relationship Id="rId329" Type="http://schemas.openxmlformats.org/officeDocument/2006/relationships/hyperlink" Target="https://github.com/HexHive/magma/tree/master/targets/openssl/patches/bugs/SSL008.patch" TargetMode="External"/><Relationship Id="rId68" Type="http://schemas.openxmlformats.org/officeDocument/2006/relationships/hyperlink" Target="https://cve.mitre.org/cgi-bin/cvename.cgi?name=CVE-2016-1837" TargetMode="External"/><Relationship Id="rId133" Type="http://schemas.openxmlformats.org/officeDocument/2006/relationships/hyperlink" Target="https://github.com/HexHive/magma/tree/master/targets/openssl/patches/bugs/SSL008.patch" TargetMode="External"/><Relationship Id="rId175" Type="http://schemas.openxmlformats.org/officeDocument/2006/relationships/hyperlink" Target="https://github.com/HexHive/magma/tree/master/targets/sqlite3/patches/bugs/SQL009.patch" TargetMode="External"/><Relationship Id="rId340" Type="http://schemas.openxmlformats.org/officeDocument/2006/relationships/hyperlink" Target="https://cve.mitre.org/cgi-bin/cvename.cgi?name=CVE-2016-7052" TargetMode="External"/><Relationship Id="rId200" Type="http://schemas.openxmlformats.org/officeDocument/2006/relationships/hyperlink" Target="https://cve.mitre.org/cgi-bin/cvename.cgi?name=CVE-2019-9021" TargetMode="External"/><Relationship Id="rId382" Type="http://schemas.openxmlformats.org/officeDocument/2006/relationships/hyperlink" Target="https://cve.mitre.org/cgi-bin/cvename.cgi?name=CVE-2020-24370" TargetMode="External"/><Relationship Id="rId242" Type="http://schemas.openxmlformats.org/officeDocument/2006/relationships/hyperlink" Target="https://cve.mitre.org/cgi-bin/cvename.cgi?name=CVE-2017-12562" TargetMode="External"/><Relationship Id="rId284" Type="http://schemas.openxmlformats.org/officeDocument/2006/relationships/hyperlink" Target="https://github.com/HexHive/magma/tree/master/targets/libtiff/patches/bugs/TIF001.patch" TargetMode="External"/><Relationship Id="rId37" Type="http://schemas.openxmlformats.org/officeDocument/2006/relationships/hyperlink" Target="https://github.com/HexHive/magma/tree/master/targets/libtiff/patches/bugs/TIF012.patch" TargetMode="External"/><Relationship Id="rId79" Type="http://schemas.openxmlformats.org/officeDocument/2006/relationships/hyperlink" Target="https://github.com/HexHive/magma/tree/master/targets/poppler/patches/bugs/PDF002.patch" TargetMode="External"/><Relationship Id="rId102" Type="http://schemas.openxmlformats.org/officeDocument/2006/relationships/hyperlink" Target="https://cve.mitre.org/cgi-bin/cvename.cgi?name=CVE-2018-20650" TargetMode="External"/><Relationship Id="rId144" Type="http://schemas.openxmlformats.org/officeDocument/2006/relationships/hyperlink" Target="https://cve.mitre.org/cgi-bin/cvename.cgi?name=CVE-2015-0208" TargetMode="External"/><Relationship Id="rId90" Type="http://schemas.openxmlformats.org/officeDocument/2006/relationships/hyperlink" Target="https://cve.mitre.org/cgi-bin/cvename.cgi?name=CVE-2019-9200" TargetMode="External"/><Relationship Id="rId186" Type="http://schemas.openxmlformats.org/officeDocument/2006/relationships/hyperlink" Target="https://cve.mitre.org/cgi-bin/cvename.cgi?name=CVE-2019-19926" TargetMode="External"/><Relationship Id="rId351" Type="http://schemas.openxmlformats.org/officeDocument/2006/relationships/hyperlink" Target="https://github.com/HexHive/magma/tree/master/targets/php/patches/bugs/PHP007.patch" TargetMode="External"/><Relationship Id="rId393" Type="http://schemas.openxmlformats.org/officeDocument/2006/relationships/hyperlink" Target="https://github.com/HexHive/magma/tree/master/targets/lua/patches/bugs/LUA004.patch" TargetMode="External"/><Relationship Id="rId407" Type="http://schemas.openxmlformats.org/officeDocument/2006/relationships/vmlDrawing" Target="../drawings/vmlDrawing1.vml"/><Relationship Id="rId211" Type="http://schemas.openxmlformats.org/officeDocument/2006/relationships/hyperlink" Target="https://github.com/HexHive/magma/tree/master/targets/php/patches/bugs/PHP007.patch" TargetMode="External"/><Relationship Id="rId253" Type="http://schemas.openxmlformats.org/officeDocument/2006/relationships/hyperlink" Target="https://github.com/HexHive/magma/tree/master/targets/libsndfile/patches/bugs/SND017.patch" TargetMode="External"/><Relationship Id="rId295" Type="http://schemas.openxmlformats.org/officeDocument/2006/relationships/hyperlink" Target="https://cve.mitre.org/cgi-bin/cvename.cgi?name=CVE-2016-9535" TargetMode="External"/><Relationship Id="rId309" Type="http://schemas.openxmlformats.org/officeDocument/2006/relationships/hyperlink" Target="https://github.com/HexHive/magma/tree/master/targets/libxml2/patches/bugs/XML001.p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F4E-04EC-7045-A554-90EB9CB8FFC5}">
  <sheetPr codeName="Sheet1"/>
  <dimension ref="A1:AF221"/>
  <sheetViews>
    <sheetView tabSelected="1" zoomScale="90" zoomScaleNormal="90" workbookViewId="0">
      <pane xSplit="11" ySplit="3" topLeftCell="L60" activePane="bottomRight" state="frozen"/>
      <selection pane="topRight" activeCell="F1" sqref="F1"/>
      <selection pane="bottomLeft" activeCell="A4" sqref="A4"/>
      <selection pane="bottomRight" activeCell="U15" sqref="U15"/>
    </sheetView>
  </sheetViews>
  <sheetFormatPr baseColWidth="10" defaultRowHeight="16" x14ac:dyDescent="0.2"/>
  <cols>
    <col min="1" max="1" width="8.33203125" bestFit="1" customWidth="1"/>
    <col min="2" max="2" width="7" style="23" customWidth="1"/>
    <col min="3" max="3" width="15.83203125" customWidth="1"/>
    <col min="4" max="4" width="8.83203125" customWidth="1"/>
    <col min="5" max="5" width="9.5" customWidth="1"/>
    <col min="6" max="6" width="7.1640625" customWidth="1"/>
    <col min="7" max="7" width="9" customWidth="1"/>
    <col min="8" max="9" width="8" customWidth="1"/>
    <col min="10" max="11" width="6.83203125" customWidth="1"/>
    <col min="12" max="12" width="8.33203125" style="70" bestFit="1" customWidth="1"/>
    <col min="13" max="13" width="11.33203125" style="8" bestFit="1" customWidth="1"/>
    <col min="14" max="14" width="12.33203125" style="8" bestFit="1" customWidth="1"/>
    <col min="15" max="15" width="5" style="8" customWidth="1"/>
    <col min="16" max="16" width="9.1640625" style="8" customWidth="1"/>
    <col min="17" max="17" width="7.33203125" style="8" customWidth="1"/>
    <col min="18" max="18" width="7.83203125" style="8" customWidth="1"/>
    <col min="19" max="19" width="8.33203125" style="41" customWidth="1"/>
    <col min="20" max="20" width="11.33203125" style="8" bestFit="1" customWidth="1"/>
    <col min="21" max="21" width="12.33203125" style="8" bestFit="1" customWidth="1"/>
    <col min="22" max="22" width="5" style="8" customWidth="1"/>
    <col min="23" max="23" width="9.1640625" style="8" customWidth="1"/>
    <col min="24" max="24" width="7.33203125" style="8" customWidth="1"/>
    <col min="25" max="25" width="7.83203125" style="8" customWidth="1"/>
    <col min="26" max="26" width="8.33203125" style="16" bestFit="1" customWidth="1"/>
    <col min="27" max="27" width="11.33203125" bestFit="1" customWidth="1"/>
    <col min="28" max="28" width="12.33203125" bestFit="1" customWidth="1"/>
    <col min="29" max="29" width="5" style="8" customWidth="1"/>
    <col min="30" max="30" width="9.1640625" style="8" customWidth="1"/>
    <col min="31" max="31" width="7.33203125" style="8" customWidth="1"/>
    <col min="32" max="32" width="7.83203125" style="8" customWidth="1"/>
  </cols>
  <sheetData>
    <row r="1" spans="1:32" x14ac:dyDescent="0.2">
      <c r="B1"/>
      <c r="L1" s="98" t="s">
        <v>5</v>
      </c>
      <c r="M1" s="94"/>
      <c r="N1" s="94"/>
      <c r="O1" s="94"/>
      <c r="P1" s="94"/>
      <c r="Q1" s="94"/>
      <c r="R1" s="99"/>
      <c r="S1" s="97" t="s">
        <v>6</v>
      </c>
      <c r="T1" s="95"/>
      <c r="U1" s="95"/>
      <c r="V1" s="95"/>
      <c r="W1" s="95"/>
      <c r="X1" s="95"/>
      <c r="Y1" s="95"/>
      <c r="Z1" s="93" t="s">
        <v>4</v>
      </c>
      <c r="AA1" s="93"/>
      <c r="AB1" s="93"/>
      <c r="AC1" s="93"/>
      <c r="AD1" s="93"/>
      <c r="AE1" s="93"/>
      <c r="AF1" s="93"/>
    </row>
    <row r="2" spans="1:32" x14ac:dyDescent="0.2">
      <c r="B2"/>
      <c r="L2" s="67"/>
      <c r="M2" s="94" t="s">
        <v>497</v>
      </c>
      <c r="N2" s="94"/>
      <c r="O2" s="94" t="s">
        <v>484</v>
      </c>
      <c r="P2" s="94"/>
      <c r="Q2" s="94"/>
      <c r="R2" s="94"/>
      <c r="S2" s="39"/>
      <c r="T2" s="95" t="s">
        <v>497</v>
      </c>
      <c r="U2" s="95"/>
      <c r="V2" s="95" t="s">
        <v>484</v>
      </c>
      <c r="W2" s="95"/>
      <c r="X2" s="95"/>
      <c r="Y2" s="95"/>
      <c r="Z2" s="36"/>
      <c r="AA2" s="96" t="s">
        <v>497</v>
      </c>
      <c r="AB2" s="96"/>
      <c r="AC2" s="93" t="s">
        <v>484</v>
      </c>
      <c r="AD2" s="93"/>
      <c r="AE2" s="93"/>
      <c r="AF2" s="93"/>
    </row>
    <row r="3" spans="1:32" x14ac:dyDescent="0.2">
      <c r="A3" s="1" t="s">
        <v>7</v>
      </c>
      <c r="B3" s="1" t="s">
        <v>322</v>
      </c>
      <c r="C3" s="1" t="s">
        <v>8</v>
      </c>
      <c r="D3" s="1" t="s">
        <v>9</v>
      </c>
      <c r="E3" s="1" t="s">
        <v>291</v>
      </c>
      <c r="F3" s="34" t="s">
        <v>477</v>
      </c>
      <c r="G3" s="25" t="s">
        <v>478</v>
      </c>
      <c r="H3" s="25" t="s">
        <v>496</v>
      </c>
      <c r="I3" s="25" t="s">
        <v>495</v>
      </c>
      <c r="J3" s="1" t="s">
        <v>313</v>
      </c>
      <c r="K3" s="1" t="s">
        <v>312</v>
      </c>
      <c r="L3" s="67" t="s">
        <v>479</v>
      </c>
      <c r="M3" s="29" t="s">
        <v>493</v>
      </c>
      <c r="N3" s="29" t="s">
        <v>494</v>
      </c>
      <c r="O3" s="29" t="s">
        <v>0</v>
      </c>
      <c r="P3" s="29" t="s">
        <v>1</v>
      </c>
      <c r="Q3" s="29" t="s">
        <v>2</v>
      </c>
      <c r="R3" s="29" t="s">
        <v>3</v>
      </c>
      <c r="S3" s="39" t="s">
        <v>479</v>
      </c>
      <c r="T3" s="28" t="s">
        <v>493</v>
      </c>
      <c r="U3" s="28" t="s">
        <v>494</v>
      </c>
      <c r="V3" s="28" t="s">
        <v>0</v>
      </c>
      <c r="W3" s="28" t="s">
        <v>1</v>
      </c>
      <c r="X3" s="28" t="s">
        <v>2</v>
      </c>
      <c r="Y3" s="28" t="s">
        <v>3</v>
      </c>
      <c r="Z3" s="37" t="s">
        <v>479</v>
      </c>
      <c r="AA3" s="90" t="s">
        <v>493</v>
      </c>
      <c r="AB3" s="90" t="s">
        <v>494</v>
      </c>
      <c r="AC3" s="27" t="s">
        <v>0</v>
      </c>
      <c r="AD3" s="27" t="s">
        <v>1</v>
      </c>
      <c r="AE3" s="27" t="s">
        <v>2</v>
      </c>
      <c r="AF3" s="27" t="s">
        <v>3</v>
      </c>
    </row>
    <row r="4" spans="1:32" x14ac:dyDescent="0.2">
      <c r="A4" s="2" t="s">
        <v>10</v>
      </c>
      <c r="B4" s="20">
        <v>1</v>
      </c>
      <c r="C4" s="2" t="s">
        <v>11</v>
      </c>
      <c r="D4" t="s">
        <v>12</v>
      </c>
      <c r="E4" t="s">
        <v>290</v>
      </c>
      <c r="F4" t="b">
        <v>1</v>
      </c>
      <c r="G4" t="b">
        <v>1</v>
      </c>
      <c r="H4" t="b">
        <v>0</v>
      </c>
      <c r="I4" t="b">
        <v>0</v>
      </c>
      <c r="J4">
        <v>14</v>
      </c>
      <c r="K4">
        <v>15</v>
      </c>
      <c r="L4" s="68" t="b">
        <v>1</v>
      </c>
      <c r="M4" s="85" t="b">
        <v>1</v>
      </c>
      <c r="N4" s="85" t="b">
        <v>1</v>
      </c>
      <c r="O4" s="8" t="s">
        <v>483</v>
      </c>
      <c r="P4" s="8" t="s">
        <v>483</v>
      </c>
      <c r="Q4" s="8" t="s">
        <v>483</v>
      </c>
      <c r="R4" s="8" t="s">
        <v>483</v>
      </c>
      <c r="S4" s="40" t="b">
        <v>1</v>
      </c>
      <c r="T4" s="85" t="b">
        <v>1</v>
      </c>
      <c r="U4" s="85" t="b">
        <v>1</v>
      </c>
      <c r="V4" s="8" t="s">
        <v>483</v>
      </c>
      <c r="W4" s="8" t="s">
        <v>483</v>
      </c>
      <c r="X4" s="8" t="s">
        <v>483</v>
      </c>
      <c r="Y4" s="8" t="s">
        <v>483</v>
      </c>
      <c r="Z4" s="16" t="b">
        <v>1</v>
      </c>
      <c r="AA4" t="b">
        <v>0</v>
      </c>
      <c r="AB4" t="b">
        <v>0</v>
      </c>
      <c r="AC4" s="8" t="s">
        <v>482</v>
      </c>
      <c r="AD4" s="8" t="s">
        <v>482</v>
      </c>
      <c r="AE4" s="8" t="s">
        <v>482</v>
      </c>
      <c r="AF4" s="8" t="s">
        <v>482</v>
      </c>
    </row>
    <row r="5" spans="1:32" s="14" customFormat="1" x14ac:dyDescent="0.2">
      <c r="A5" s="13" t="s">
        <v>13</v>
      </c>
      <c r="B5" s="32">
        <v>1</v>
      </c>
      <c r="C5" s="13" t="s">
        <v>14</v>
      </c>
      <c r="D5" s="14" t="s">
        <v>12</v>
      </c>
      <c r="E5" s="14" t="s">
        <v>292</v>
      </c>
      <c r="F5" s="14" t="b">
        <v>1</v>
      </c>
      <c r="G5" s="14" t="b">
        <v>1</v>
      </c>
      <c r="H5" s="14" t="b">
        <v>0</v>
      </c>
      <c r="I5" s="14" t="b">
        <v>1</v>
      </c>
      <c r="J5" s="14">
        <v>2</v>
      </c>
      <c r="K5" s="14">
        <v>3</v>
      </c>
      <c r="L5" s="69"/>
      <c r="M5" s="15"/>
      <c r="N5" s="15"/>
      <c r="O5" s="15"/>
      <c r="P5" s="15"/>
      <c r="Q5" s="15"/>
      <c r="R5" s="15"/>
      <c r="S5" s="45"/>
      <c r="T5" s="15"/>
      <c r="U5" s="15"/>
      <c r="V5" s="15"/>
      <c r="W5" s="15"/>
      <c r="X5" s="15"/>
      <c r="Y5" s="15"/>
      <c r="Z5" s="19"/>
      <c r="AC5" s="15"/>
      <c r="AD5" s="15"/>
      <c r="AE5" s="15"/>
      <c r="AF5" s="15"/>
    </row>
    <row r="6" spans="1:32" x14ac:dyDescent="0.2">
      <c r="A6" s="7" t="s">
        <v>13</v>
      </c>
      <c r="B6" s="24">
        <v>2</v>
      </c>
      <c r="C6" s="7" t="s">
        <v>14</v>
      </c>
      <c r="D6" t="s">
        <v>12</v>
      </c>
      <c r="E6" t="s">
        <v>293</v>
      </c>
      <c r="F6" t="b">
        <v>1</v>
      </c>
      <c r="G6" t="b">
        <v>1</v>
      </c>
      <c r="H6" t="b">
        <v>0</v>
      </c>
      <c r="I6" t="b">
        <v>0</v>
      </c>
      <c r="J6">
        <v>4</v>
      </c>
      <c r="K6">
        <v>5</v>
      </c>
    </row>
    <row r="7" spans="1:32" s="4" customFormat="1" x14ac:dyDescent="0.2">
      <c r="A7" s="3" t="s">
        <v>13</v>
      </c>
      <c r="B7" s="21">
        <v>3</v>
      </c>
      <c r="C7" s="3" t="s">
        <v>14</v>
      </c>
      <c r="D7" s="4" t="s">
        <v>12</v>
      </c>
      <c r="E7" s="4" t="s">
        <v>294</v>
      </c>
      <c r="F7" s="4" t="b">
        <v>1</v>
      </c>
      <c r="G7" s="4" t="b">
        <v>1</v>
      </c>
      <c r="H7" s="4" t="b">
        <v>1</v>
      </c>
      <c r="I7" s="4" t="b">
        <v>1</v>
      </c>
      <c r="J7" s="4">
        <v>6</v>
      </c>
      <c r="K7" s="4">
        <v>7</v>
      </c>
      <c r="L7" s="71"/>
      <c r="M7" s="9"/>
      <c r="N7" s="9"/>
      <c r="O7" s="9"/>
      <c r="P7" s="9"/>
      <c r="Q7" s="9"/>
      <c r="R7" s="9"/>
      <c r="S7" s="42"/>
      <c r="T7" s="9"/>
      <c r="U7" s="9"/>
      <c r="V7" s="9"/>
      <c r="W7" s="9"/>
      <c r="X7" s="9"/>
      <c r="Y7" s="9"/>
      <c r="Z7" s="17"/>
      <c r="AC7" s="9"/>
      <c r="AD7" s="9"/>
      <c r="AE7" s="9"/>
      <c r="AF7" s="9"/>
    </row>
    <row r="8" spans="1:32" s="14" customFormat="1" x14ac:dyDescent="0.2">
      <c r="A8" s="13" t="s">
        <v>15</v>
      </c>
      <c r="B8" s="32">
        <v>1</v>
      </c>
      <c r="C8" s="13" t="s">
        <v>16</v>
      </c>
      <c r="D8" s="14" t="s">
        <v>12</v>
      </c>
      <c r="E8" s="14" t="s">
        <v>295</v>
      </c>
      <c r="F8" s="14" t="b">
        <v>1</v>
      </c>
      <c r="G8" s="14" t="b">
        <v>1</v>
      </c>
      <c r="H8" s="14" t="b">
        <v>1</v>
      </c>
      <c r="I8" s="14" t="b">
        <v>0</v>
      </c>
      <c r="J8" s="14">
        <v>10</v>
      </c>
      <c r="K8" s="14">
        <v>11</v>
      </c>
      <c r="L8" s="72" t="b">
        <v>1</v>
      </c>
      <c r="M8" s="86" t="b">
        <v>0</v>
      </c>
      <c r="N8" s="86" t="b">
        <v>1</v>
      </c>
      <c r="O8" s="15" t="s">
        <v>482</v>
      </c>
      <c r="P8" s="15" t="s">
        <v>482</v>
      </c>
      <c r="Q8" s="15" t="s">
        <v>482</v>
      </c>
      <c r="R8" s="15" t="s">
        <v>482</v>
      </c>
      <c r="S8" s="47" t="b">
        <v>1</v>
      </c>
      <c r="T8" s="86" t="b">
        <v>0</v>
      </c>
      <c r="U8" s="86" t="b">
        <v>1</v>
      </c>
      <c r="V8" s="15" t="s">
        <v>482</v>
      </c>
      <c r="W8" s="15" t="s">
        <v>482</v>
      </c>
      <c r="X8" s="15" t="s">
        <v>482</v>
      </c>
      <c r="Y8" s="15" t="s">
        <v>482</v>
      </c>
      <c r="Z8" s="19" t="b">
        <v>1</v>
      </c>
      <c r="AA8" s="14" t="b">
        <v>0</v>
      </c>
      <c r="AB8" s="14" t="b">
        <v>0</v>
      </c>
      <c r="AC8" s="15" t="s">
        <v>482</v>
      </c>
      <c r="AD8" s="15" t="s">
        <v>482</v>
      </c>
      <c r="AE8" s="15" t="s">
        <v>482</v>
      </c>
      <c r="AF8" s="15" t="s">
        <v>482</v>
      </c>
    </row>
    <row r="9" spans="1:32" s="4" customFormat="1" x14ac:dyDescent="0.2">
      <c r="A9" s="3" t="s">
        <v>15</v>
      </c>
      <c r="B9" s="21">
        <v>2</v>
      </c>
      <c r="C9" s="3" t="s">
        <v>16</v>
      </c>
      <c r="D9" s="4" t="s">
        <v>12</v>
      </c>
      <c r="E9" s="4" t="s">
        <v>296</v>
      </c>
      <c r="F9" s="4" t="b">
        <v>1</v>
      </c>
      <c r="G9" s="4" t="b">
        <v>1</v>
      </c>
      <c r="H9" s="4" t="b">
        <v>0</v>
      </c>
      <c r="I9" s="4" t="b">
        <v>0</v>
      </c>
      <c r="J9" s="4">
        <v>22</v>
      </c>
      <c r="K9" s="4">
        <v>23</v>
      </c>
      <c r="L9" s="71" t="s">
        <v>480</v>
      </c>
      <c r="M9" s="9" t="b">
        <v>1</v>
      </c>
      <c r="N9" s="9"/>
      <c r="O9" s="9"/>
      <c r="P9" s="9"/>
      <c r="Q9" s="9"/>
      <c r="R9" s="9"/>
      <c r="S9" s="42" t="s">
        <v>481</v>
      </c>
      <c r="T9" s="9" t="b">
        <v>1</v>
      </c>
      <c r="U9" s="9"/>
      <c r="V9" s="9"/>
      <c r="W9" s="9"/>
      <c r="X9" s="9"/>
      <c r="Y9" s="9"/>
      <c r="Z9" s="17" t="s">
        <v>480</v>
      </c>
      <c r="AA9" s="4" t="b">
        <v>1</v>
      </c>
      <c r="AC9" s="9"/>
      <c r="AD9" s="9"/>
      <c r="AE9" s="9"/>
      <c r="AF9" s="9"/>
    </row>
    <row r="10" spans="1:32" s="14" customFormat="1" x14ac:dyDescent="0.2">
      <c r="A10" s="13" t="s">
        <v>17</v>
      </c>
      <c r="B10" s="32">
        <v>1</v>
      </c>
      <c r="C10" s="13" t="s">
        <v>18</v>
      </c>
      <c r="D10" s="14" t="s">
        <v>12</v>
      </c>
      <c r="E10" s="14" t="s">
        <v>297</v>
      </c>
      <c r="F10" s="14" t="b">
        <v>0</v>
      </c>
      <c r="G10" s="14" t="b">
        <v>0</v>
      </c>
      <c r="H10" s="14" t="b">
        <v>0</v>
      </c>
      <c r="I10" s="14" t="b">
        <v>0</v>
      </c>
      <c r="J10" s="14">
        <v>16</v>
      </c>
      <c r="K10" s="14">
        <v>17</v>
      </c>
      <c r="L10" s="72" t="b">
        <v>1</v>
      </c>
      <c r="M10" s="86" t="b">
        <v>1</v>
      </c>
      <c r="N10" s="86" t="b">
        <v>1</v>
      </c>
      <c r="O10" s="15" t="s">
        <v>485</v>
      </c>
      <c r="P10" s="15" t="s">
        <v>485</v>
      </c>
      <c r="Q10" s="15" t="s">
        <v>485</v>
      </c>
      <c r="R10" s="15" t="s">
        <v>485</v>
      </c>
      <c r="S10" s="47" t="b">
        <v>1</v>
      </c>
      <c r="T10" s="86" t="b">
        <v>1</v>
      </c>
      <c r="U10" s="86" t="b">
        <v>1</v>
      </c>
      <c r="V10" s="15" t="s">
        <v>486</v>
      </c>
      <c r="W10" s="15" t="s">
        <v>486</v>
      </c>
      <c r="X10" s="15" t="s">
        <v>486</v>
      </c>
      <c r="Y10" s="15" t="s">
        <v>486</v>
      </c>
      <c r="Z10" s="19" t="b">
        <v>1</v>
      </c>
      <c r="AA10" s="14" t="b">
        <v>0</v>
      </c>
      <c r="AB10" s="14" t="b">
        <v>0</v>
      </c>
      <c r="AC10" s="15" t="s">
        <v>487</v>
      </c>
      <c r="AD10" s="15" t="s">
        <v>487</v>
      </c>
      <c r="AE10" s="15" t="s">
        <v>487</v>
      </c>
      <c r="AF10" s="15" t="s">
        <v>487</v>
      </c>
    </row>
    <row r="11" spans="1:32" x14ac:dyDescent="0.2">
      <c r="A11" s="7" t="s">
        <v>17</v>
      </c>
      <c r="B11" s="24">
        <v>2</v>
      </c>
      <c r="C11" s="7" t="s">
        <v>18</v>
      </c>
      <c r="D11" t="s">
        <v>12</v>
      </c>
      <c r="E11" t="s">
        <v>299</v>
      </c>
      <c r="F11" t="b">
        <v>0</v>
      </c>
      <c r="G11" t="b">
        <v>0</v>
      </c>
      <c r="H11" t="b">
        <v>0</v>
      </c>
      <c r="I11" t="b">
        <v>0</v>
      </c>
      <c r="J11">
        <v>18</v>
      </c>
      <c r="K11">
        <v>19</v>
      </c>
    </row>
    <row r="12" spans="1:32" s="4" customFormat="1" x14ac:dyDescent="0.2">
      <c r="A12" s="3" t="s">
        <v>17</v>
      </c>
      <c r="B12" s="21">
        <v>3</v>
      </c>
      <c r="C12" s="3" t="s">
        <v>18</v>
      </c>
      <c r="D12" s="4" t="s">
        <v>12</v>
      </c>
      <c r="E12" s="4" t="s">
        <v>298</v>
      </c>
      <c r="F12" s="4" t="b">
        <v>0</v>
      </c>
      <c r="G12" s="4" t="b">
        <v>0</v>
      </c>
      <c r="H12" s="4" t="b">
        <v>0</v>
      </c>
      <c r="I12" s="4" t="b">
        <v>0</v>
      </c>
      <c r="J12" s="4">
        <v>20</v>
      </c>
      <c r="K12" s="4">
        <v>21</v>
      </c>
      <c r="L12" s="71"/>
      <c r="M12" s="9"/>
      <c r="N12" s="9"/>
      <c r="O12" s="9"/>
      <c r="P12" s="9"/>
      <c r="Q12" s="9"/>
      <c r="R12" s="9"/>
      <c r="S12" s="42"/>
      <c r="T12" s="9"/>
      <c r="U12" s="9"/>
      <c r="V12" s="9"/>
      <c r="W12" s="9"/>
      <c r="X12" s="9"/>
      <c r="Y12" s="9"/>
      <c r="Z12" s="17"/>
      <c r="AC12" s="9"/>
      <c r="AD12" s="9"/>
      <c r="AE12" s="9"/>
      <c r="AF12" s="9"/>
    </row>
    <row r="13" spans="1:32" s="11" customFormat="1" x14ac:dyDescent="0.2">
      <c r="A13" s="10" t="s">
        <v>19</v>
      </c>
      <c r="B13" s="48">
        <v>1</v>
      </c>
      <c r="C13" s="10" t="s">
        <v>20</v>
      </c>
      <c r="D13" s="11" t="s">
        <v>12</v>
      </c>
      <c r="E13" s="11" t="s">
        <v>300</v>
      </c>
      <c r="F13" s="11" t="b">
        <v>0</v>
      </c>
      <c r="G13" s="11" t="b">
        <v>0</v>
      </c>
      <c r="H13" s="11" t="b">
        <v>1</v>
      </c>
      <c r="I13" s="11" t="b">
        <v>0</v>
      </c>
      <c r="J13" s="11">
        <v>0</v>
      </c>
      <c r="K13" s="11">
        <v>1</v>
      </c>
      <c r="L13" s="73"/>
      <c r="M13" s="12"/>
      <c r="N13" s="12"/>
      <c r="O13" s="12"/>
      <c r="P13" s="12"/>
      <c r="Q13" s="12"/>
      <c r="R13" s="12"/>
      <c r="S13" s="49"/>
      <c r="T13" s="12"/>
      <c r="U13" s="12"/>
      <c r="V13" s="12"/>
      <c r="W13" s="12"/>
      <c r="X13" s="12"/>
      <c r="Y13" s="12"/>
      <c r="Z13" s="18"/>
      <c r="AC13" s="12"/>
      <c r="AD13" s="12"/>
      <c r="AE13" s="12"/>
      <c r="AF13" s="12"/>
    </row>
    <row r="14" spans="1:32" s="11" customFormat="1" x14ac:dyDescent="0.2">
      <c r="A14" s="10" t="s">
        <v>21</v>
      </c>
      <c r="B14" s="48">
        <v>1</v>
      </c>
      <c r="C14" s="10" t="s">
        <v>22</v>
      </c>
      <c r="D14" s="11" t="s">
        <v>12</v>
      </c>
      <c r="E14" s="11" t="s">
        <v>301</v>
      </c>
      <c r="F14" s="11" t="b">
        <v>1</v>
      </c>
      <c r="G14" s="11" t="b">
        <v>1</v>
      </c>
      <c r="H14" s="11" t="b">
        <v>1</v>
      </c>
      <c r="I14" s="11" t="b">
        <v>0</v>
      </c>
      <c r="J14" s="11">
        <v>12</v>
      </c>
      <c r="K14" s="11">
        <v>13</v>
      </c>
      <c r="L14" s="73"/>
      <c r="M14" s="12"/>
      <c r="N14" s="12"/>
      <c r="O14" s="12"/>
      <c r="P14" s="12"/>
      <c r="Q14" s="12"/>
      <c r="R14" s="12"/>
      <c r="S14" s="50" t="b">
        <v>1</v>
      </c>
      <c r="T14" s="89" t="b">
        <v>0</v>
      </c>
      <c r="U14" s="89" t="b">
        <v>0</v>
      </c>
      <c r="V14" s="12" t="s">
        <v>486</v>
      </c>
      <c r="W14" s="12" t="s">
        <v>486</v>
      </c>
      <c r="X14" s="12" t="s">
        <v>486</v>
      </c>
      <c r="Y14" s="12" t="s">
        <v>486</v>
      </c>
      <c r="Z14" s="18"/>
      <c r="AC14" s="12"/>
      <c r="AD14" s="12"/>
      <c r="AE14" s="12"/>
      <c r="AF14" s="12"/>
    </row>
    <row r="15" spans="1:32" x14ac:dyDescent="0.2">
      <c r="A15" s="7" t="s">
        <v>23</v>
      </c>
      <c r="B15" s="24">
        <v>1</v>
      </c>
      <c r="C15" s="7" t="s">
        <v>24</v>
      </c>
      <c r="D15" t="s">
        <v>12</v>
      </c>
      <c r="E15" t="s">
        <v>302</v>
      </c>
      <c r="F15" t="b">
        <v>1</v>
      </c>
      <c r="G15" t="b">
        <v>1</v>
      </c>
      <c r="H15" t="b">
        <v>1</v>
      </c>
      <c r="I15" t="b">
        <v>0</v>
      </c>
      <c r="J15">
        <v>8</v>
      </c>
      <c r="K15">
        <v>9</v>
      </c>
    </row>
    <row r="16" spans="1:32" s="55" customFormat="1" ht="17" thickBot="1" x14ac:dyDescent="0.25">
      <c r="A16" s="53" t="s">
        <v>23</v>
      </c>
      <c r="B16" s="54">
        <v>2</v>
      </c>
      <c r="C16" s="53" t="s">
        <v>24</v>
      </c>
      <c r="D16" s="55" t="s">
        <v>12</v>
      </c>
      <c r="E16" s="55" t="s">
        <v>303</v>
      </c>
      <c r="F16" s="55" t="b">
        <v>1</v>
      </c>
      <c r="G16" s="55" t="b">
        <v>1</v>
      </c>
      <c r="H16" s="55" t="b">
        <v>0</v>
      </c>
      <c r="I16" s="55" t="b">
        <v>0</v>
      </c>
      <c r="J16" s="55">
        <v>24</v>
      </c>
      <c r="K16" s="55">
        <v>25</v>
      </c>
      <c r="L16" s="74" t="s">
        <v>480</v>
      </c>
      <c r="M16" s="57"/>
      <c r="N16" s="57" t="b">
        <v>0</v>
      </c>
      <c r="O16" s="57"/>
      <c r="P16" s="57"/>
      <c r="Q16" s="57"/>
      <c r="R16" s="57"/>
      <c r="S16" s="56" t="s">
        <v>480</v>
      </c>
      <c r="T16" s="57"/>
      <c r="U16" s="57" t="b">
        <v>0</v>
      </c>
      <c r="V16" s="57"/>
      <c r="W16" s="57"/>
      <c r="X16" s="57"/>
      <c r="Y16" s="57"/>
      <c r="Z16" s="58"/>
      <c r="AC16" s="57"/>
      <c r="AD16" s="57"/>
      <c r="AE16" s="57"/>
      <c r="AF16" s="57"/>
    </row>
    <row r="17" spans="1:32" s="4" customFormat="1" x14ac:dyDescent="0.2">
      <c r="A17" s="3" t="s">
        <v>25</v>
      </c>
      <c r="B17" s="21">
        <v>1</v>
      </c>
      <c r="C17" s="3" t="s">
        <v>26</v>
      </c>
      <c r="D17" s="4" t="s">
        <v>27</v>
      </c>
      <c r="E17" s="4" t="s">
        <v>304</v>
      </c>
      <c r="F17" s="4" t="b">
        <v>1</v>
      </c>
      <c r="G17" s="4" t="b">
        <v>1</v>
      </c>
      <c r="H17" s="4" t="b">
        <v>1</v>
      </c>
      <c r="I17" s="4" t="b">
        <v>0</v>
      </c>
      <c r="J17" s="4">
        <v>26</v>
      </c>
      <c r="K17" s="4">
        <v>27</v>
      </c>
      <c r="L17" s="75" t="b">
        <v>1</v>
      </c>
      <c r="M17" s="35" t="b">
        <v>0</v>
      </c>
      <c r="N17" s="35" t="b">
        <v>0</v>
      </c>
      <c r="O17" s="9" t="s">
        <v>486</v>
      </c>
      <c r="P17" s="9" t="s">
        <v>486</v>
      </c>
      <c r="Q17" s="9" t="s">
        <v>486</v>
      </c>
      <c r="R17" s="9" t="s">
        <v>486</v>
      </c>
      <c r="S17" s="44" t="b">
        <v>1</v>
      </c>
      <c r="T17" s="35" t="b">
        <v>0</v>
      </c>
      <c r="U17" s="35" t="b">
        <v>0</v>
      </c>
      <c r="V17" s="9" t="s">
        <v>486</v>
      </c>
      <c r="W17" s="9" t="s">
        <v>486</v>
      </c>
      <c r="X17" s="9" t="s">
        <v>486</v>
      </c>
      <c r="Y17" s="9" t="s">
        <v>486</v>
      </c>
      <c r="Z17" s="17"/>
      <c r="AC17" s="9"/>
      <c r="AD17" s="9"/>
      <c r="AE17" s="9"/>
      <c r="AF17" s="9"/>
    </row>
    <row r="18" spans="1:32" s="11" customFormat="1" x14ac:dyDescent="0.2">
      <c r="A18" s="10" t="s">
        <v>28</v>
      </c>
      <c r="B18" s="48">
        <v>1</v>
      </c>
      <c r="C18" s="10" t="s">
        <v>29</v>
      </c>
      <c r="D18" s="11" t="s">
        <v>27</v>
      </c>
      <c r="E18" s="11" t="s">
        <v>305</v>
      </c>
      <c r="F18" s="11" t="b">
        <v>1</v>
      </c>
      <c r="G18" s="11" t="b">
        <v>1</v>
      </c>
      <c r="H18" s="11" t="b">
        <v>1</v>
      </c>
      <c r="I18" s="4" t="b">
        <v>0</v>
      </c>
      <c r="J18" s="11">
        <v>28</v>
      </c>
      <c r="K18" s="11">
        <v>29</v>
      </c>
      <c r="L18" s="73"/>
      <c r="M18" s="12"/>
      <c r="N18" s="12"/>
      <c r="O18" s="12"/>
      <c r="P18" s="12"/>
      <c r="Q18" s="12"/>
      <c r="R18" s="12"/>
      <c r="S18" s="49"/>
      <c r="T18" s="12"/>
      <c r="U18" s="12"/>
      <c r="V18" s="12"/>
      <c r="W18" s="12"/>
      <c r="X18" s="12"/>
      <c r="Y18" s="12"/>
      <c r="Z18" s="18"/>
      <c r="AC18" s="12"/>
      <c r="AD18" s="12"/>
      <c r="AE18" s="12"/>
      <c r="AF18" s="12"/>
    </row>
    <row r="19" spans="1:32" s="11" customFormat="1" x14ac:dyDescent="0.2">
      <c r="A19" s="10" t="s">
        <v>30</v>
      </c>
      <c r="B19" s="48">
        <v>1</v>
      </c>
      <c r="C19" s="10" t="s">
        <v>31</v>
      </c>
      <c r="D19" s="11" t="s">
        <v>27</v>
      </c>
      <c r="E19" s="11" t="s">
        <v>306</v>
      </c>
      <c r="F19" s="11" t="b">
        <v>1</v>
      </c>
      <c r="G19" s="11" t="b">
        <v>1</v>
      </c>
      <c r="H19" s="11" t="b">
        <v>1</v>
      </c>
      <c r="I19" s="4" t="b">
        <v>0</v>
      </c>
      <c r="J19" s="11">
        <v>18</v>
      </c>
      <c r="K19" s="11">
        <v>19</v>
      </c>
      <c r="L19" s="73"/>
      <c r="M19" s="12"/>
      <c r="N19" s="12"/>
      <c r="O19" s="12"/>
      <c r="P19" s="12"/>
      <c r="Q19" s="12"/>
      <c r="R19" s="12"/>
      <c r="S19" s="49"/>
      <c r="T19" s="12"/>
      <c r="U19" s="12"/>
      <c r="V19" s="12"/>
      <c r="W19" s="12"/>
      <c r="X19" s="12"/>
      <c r="Y19" s="12"/>
      <c r="Z19" s="18"/>
      <c r="AC19" s="12"/>
      <c r="AD19" s="12"/>
      <c r="AE19" s="12"/>
      <c r="AF19" s="12"/>
    </row>
    <row r="20" spans="1:32" s="11" customFormat="1" x14ac:dyDescent="0.2">
      <c r="A20" s="10" t="s">
        <v>32</v>
      </c>
      <c r="B20" s="48">
        <v>1</v>
      </c>
      <c r="C20" s="10" t="s">
        <v>33</v>
      </c>
      <c r="D20" s="11" t="s">
        <v>27</v>
      </c>
      <c r="E20" s="11" t="s">
        <v>307</v>
      </c>
      <c r="F20" s="11" t="b">
        <v>1</v>
      </c>
      <c r="G20" s="11" t="b">
        <v>1</v>
      </c>
      <c r="H20" s="11" t="b">
        <v>0</v>
      </c>
      <c r="I20" s="11" t="b">
        <v>0</v>
      </c>
      <c r="J20" s="11">
        <v>0</v>
      </c>
      <c r="K20" s="11">
        <v>1</v>
      </c>
      <c r="L20" s="76" t="b">
        <v>1</v>
      </c>
      <c r="M20" s="52" t="b">
        <v>0</v>
      </c>
      <c r="N20" s="52" t="b">
        <v>0</v>
      </c>
      <c r="O20" s="12" t="s">
        <v>486</v>
      </c>
      <c r="P20" s="12" t="s">
        <v>486</v>
      </c>
      <c r="Q20" s="12" t="s">
        <v>486</v>
      </c>
      <c r="R20" s="12" t="s">
        <v>486</v>
      </c>
      <c r="S20" s="51" t="b">
        <v>1</v>
      </c>
      <c r="T20" s="52" t="b">
        <v>0</v>
      </c>
      <c r="U20" s="52" t="b">
        <v>0</v>
      </c>
      <c r="V20" s="12" t="s">
        <v>486</v>
      </c>
      <c r="W20" s="12" t="s">
        <v>486</v>
      </c>
      <c r="X20" s="12" t="s">
        <v>486</v>
      </c>
      <c r="Y20" s="12" t="s">
        <v>486</v>
      </c>
      <c r="Z20" s="18"/>
      <c r="AC20" s="12"/>
      <c r="AD20" s="12"/>
      <c r="AE20" s="12"/>
      <c r="AF20" s="12"/>
    </row>
    <row r="21" spans="1:32" s="11" customFormat="1" x14ac:dyDescent="0.2">
      <c r="A21" s="10" t="s">
        <v>34</v>
      </c>
      <c r="B21" s="48">
        <v>1</v>
      </c>
      <c r="C21" s="10" t="s">
        <v>35</v>
      </c>
      <c r="D21" s="11" t="s">
        <v>27</v>
      </c>
      <c r="E21" s="11" t="s">
        <v>308</v>
      </c>
      <c r="F21" s="11" t="b">
        <v>1</v>
      </c>
      <c r="G21" s="11" t="b">
        <v>1</v>
      </c>
      <c r="H21" s="11" t="b">
        <v>1</v>
      </c>
      <c r="I21" s="4" t="b">
        <v>0</v>
      </c>
      <c r="J21" s="11">
        <v>20</v>
      </c>
      <c r="K21" s="11">
        <v>21</v>
      </c>
      <c r="L21" s="76" t="b">
        <v>1</v>
      </c>
      <c r="M21" s="52" t="b">
        <v>1</v>
      </c>
      <c r="N21" s="52" t="b">
        <v>0</v>
      </c>
      <c r="O21" s="12" t="s">
        <v>487</v>
      </c>
      <c r="P21" s="12" t="s">
        <v>487</v>
      </c>
      <c r="Q21" s="12" t="s">
        <v>487</v>
      </c>
      <c r="R21" s="12" t="s">
        <v>487</v>
      </c>
      <c r="S21" s="51" t="b">
        <v>1</v>
      </c>
      <c r="T21" s="52" t="b">
        <v>0</v>
      </c>
      <c r="U21" s="52" t="b">
        <v>0</v>
      </c>
      <c r="V21" s="12" t="s">
        <v>486</v>
      </c>
      <c r="W21" s="12" t="s">
        <v>486</v>
      </c>
      <c r="X21" s="12" t="s">
        <v>486</v>
      </c>
      <c r="Y21" s="12" t="s">
        <v>486</v>
      </c>
      <c r="Z21" s="18"/>
      <c r="AC21" s="12"/>
      <c r="AD21" s="12"/>
      <c r="AE21" s="12"/>
      <c r="AF21" s="12"/>
    </row>
    <row r="22" spans="1:32" s="11" customFormat="1" x14ac:dyDescent="0.2">
      <c r="A22" s="10" t="s">
        <v>36</v>
      </c>
      <c r="B22" s="48">
        <v>1</v>
      </c>
      <c r="C22" s="10" t="s">
        <v>37</v>
      </c>
      <c r="D22" s="11" t="s">
        <v>27</v>
      </c>
      <c r="E22" s="11" t="s">
        <v>309</v>
      </c>
      <c r="F22" s="11" t="b">
        <v>1</v>
      </c>
      <c r="G22" s="11" t="b">
        <v>1</v>
      </c>
      <c r="H22" s="11" t="b">
        <v>1</v>
      </c>
      <c r="I22" s="4" t="b">
        <v>0</v>
      </c>
      <c r="J22" s="11">
        <v>24</v>
      </c>
      <c r="K22" s="11">
        <v>25</v>
      </c>
      <c r="L22" s="76" t="b">
        <v>1</v>
      </c>
      <c r="M22" s="52" t="b">
        <v>0</v>
      </c>
      <c r="N22" s="52" t="b">
        <v>0</v>
      </c>
      <c r="O22" s="12" t="s">
        <v>486</v>
      </c>
      <c r="P22" s="12" t="s">
        <v>486</v>
      </c>
      <c r="Q22" s="12" t="s">
        <v>486</v>
      </c>
      <c r="R22" s="12" t="s">
        <v>486</v>
      </c>
      <c r="S22" s="51" t="b">
        <v>1</v>
      </c>
      <c r="T22" s="52" t="b">
        <v>0</v>
      </c>
      <c r="U22" s="52" t="b">
        <v>0</v>
      </c>
      <c r="V22" s="12" t="s">
        <v>486</v>
      </c>
      <c r="W22" s="12" t="s">
        <v>486</v>
      </c>
      <c r="X22" s="12" t="s">
        <v>486</v>
      </c>
      <c r="Y22" s="12" t="s">
        <v>486</v>
      </c>
      <c r="Z22" s="18"/>
      <c r="AC22" s="12"/>
      <c r="AD22" s="12"/>
      <c r="AE22" s="12"/>
      <c r="AF22" s="12"/>
    </row>
    <row r="23" spans="1:32" s="11" customFormat="1" x14ac:dyDescent="0.2">
      <c r="A23" s="10" t="s">
        <v>38</v>
      </c>
      <c r="B23" s="48">
        <v>1</v>
      </c>
      <c r="C23" s="10" t="s">
        <v>39</v>
      </c>
      <c r="D23" s="11" t="s">
        <v>27</v>
      </c>
      <c r="E23" s="11" t="s">
        <v>311</v>
      </c>
      <c r="F23" s="11" t="b">
        <v>1</v>
      </c>
      <c r="G23" s="11" t="b">
        <v>1</v>
      </c>
      <c r="H23" s="11" t="b">
        <v>0</v>
      </c>
      <c r="I23" s="11" t="b">
        <v>0</v>
      </c>
      <c r="J23" s="11">
        <v>10</v>
      </c>
      <c r="K23" s="11">
        <v>11</v>
      </c>
      <c r="L23" s="73"/>
      <c r="M23" s="12"/>
      <c r="N23" s="12"/>
      <c r="O23" s="12"/>
      <c r="P23" s="12"/>
      <c r="Q23" s="12"/>
      <c r="R23" s="12"/>
      <c r="S23" s="49"/>
      <c r="T23" s="12"/>
      <c r="U23" s="12"/>
      <c r="V23" s="12"/>
      <c r="W23" s="12"/>
      <c r="X23" s="12"/>
      <c r="Y23" s="12"/>
      <c r="Z23" s="18"/>
      <c r="AC23" s="12"/>
      <c r="AD23" s="12"/>
      <c r="AE23" s="12"/>
      <c r="AF23" s="12"/>
    </row>
    <row r="24" spans="1:32" x14ac:dyDescent="0.2">
      <c r="A24" s="2" t="s">
        <v>40</v>
      </c>
      <c r="B24" s="20">
        <v>1</v>
      </c>
      <c r="C24" s="2" t="s">
        <v>39</v>
      </c>
      <c r="D24" t="s">
        <v>27</v>
      </c>
      <c r="E24" t="s">
        <v>324</v>
      </c>
      <c r="F24" t="b">
        <v>1</v>
      </c>
      <c r="G24" t="b">
        <v>1</v>
      </c>
      <c r="H24" t="b">
        <v>0</v>
      </c>
      <c r="I24" t="b">
        <v>0</v>
      </c>
      <c r="J24">
        <v>8</v>
      </c>
      <c r="K24">
        <v>9</v>
      </c>
    </row>
    <row r="25" spans="1:32" x14ac:dyDescent="0.2">
      <c r="A25" s="2" t="s">
        <v>40</v>
      </c>
      <c r="B25" s="20">
        <v>2</v>
      </c>
      <c r="C25" s="2" t="s">
        <v>39</v>
      </c>
      <c r="D25" t="s">
        <v>27</v>
      </c>
      <c r="E25" t="s">
        <v>325</v>
      </c>
      <c r="F25" t="b">
        <v>1</v>
      </c>
      <c r="G25" t="b">
        <v>1</v>
      </c>
      <c r="H25" t="b">
        <v>0</v>
      </c>
      <c r="I25" t="b">
        <v>0</v>
      </c>
      <c r="J25">
        <v>10</v>
      </c>
      <c r="K25">
        <v>11</v>
      </c>
    </row>
    <row r="26" spans="1:32" s="4" customFormat="1" x14ac:dyDescent="0.2">
      <c r="A26" s="3" t="s">
        <v>40</v>
      </c>
      <c r="B26" s="21">
        <v>3</v>
      </c>
      <c r="C26" s="3" t="s">
        <v>39</v>
      </c>
      <c r="D26" s="4" t="s">
        <v>27</v>
      </c>
      <c r="E26" s="4" t="s">
        <v>326</v>
      </c>
      <c r="F26" s="4" t="b">
        <v>1</v>
      </c>
      <c r="G26" s="4" t="b">
        <v>1</v>
      </c>
      <c r="H26" s="4" t="b">
        <v>0</v>
      </c>
      <c r="I26" s="4" t="b">
        <v>0</v>
      </c>
      <c r="J26" s="4">
        <v>12</v>
      </c>
      <c r="K26" s="4">
        <v>13</v>
      </c>
      <c r="L26" s="71"/>
      <c r="M26" s="9"/>
      <c r="N26" s="9"/>
      <c r="O26" s="9"/>
      <c r="P26" s="9"/>
      <c r="Q26" s="9"/>
      <c r="R26" s="9"/>
      <c r="S26" s="42"/>
      <c r="T26" s="9"/>
      <c r="U26" s="9"/>
      <c r="V26" s="9"/>
      <c r="W26" s="9"/>
      <c r="X26" s="9"/>
      <c r="Y26" s="9"/>
      <c r="Z26" s="17"/>
      <c r="AC26" s="9"/>
      <c r="AD26" s="9"/>
      <c r="AE26" s="9"/>
      <c r="AF26" s="9"/>
    </row>
    <row r="27" spans="1:32" s="4" customFormat="1" x14ac:dyDescent="0.2">
      <c r="A27" s="3" t="s">
        <v>41</v>
      </c>
      <c r="B27" s="21">
        <v>1</v>
      </c>
      <c r="C27" s="3" t="s">
        <v>39</v>
      </c>
      <c r="D27" s="4" t="s">
        <v>27</v>
      </c>
      <c r="E27" s="4" t="s">
        <v>323</v>
      </c>
      <c r="F27" s="4" t="b">
        <v>1</v>
      </c>
      <c r="G27" s="4" t="b">
        <v>1</v>
      </c>
      <c r="H27" s="4" t="b">
        <v>0</v>
      </c>
      <c r="I27" s="4" t="b">
        <v>0</v>
      </c>
      <c r="J27" s="4">
        <v>14</v>
      </c>
      <c r="K27" s="4">
        <v>15</v>
      </c>
      <c r="L27" s="71"/>
      <c r="M27" s="9"/>
      <c r="N27" s="9"/>
      <c r="O27" s="9"/>
      <c r="P27" s="9"/>
      <c r="Q27" s="9"/>
      <c r="R27" s="9"/>
      <c r="S27" s="42"/>
      <c r="T27" s="9"/>
      <c r="U27" s="9"/>
      <c r="V27" s="9"/>
      <c r="W27" s="9"/>
      <c r="X27" s="9"/>
      <c r="Y27" s="9"/>
      <c r="Z27" s="17"/>
      <c r="AC27" s="9"/>
      <c r="AD27" s="9"/>
      <c r="AE27" s="9"/>
      <c r="AF27" s="9"/>
    </row>
    <row r="28" spans="1:32" s="11" customFormat="1" x14ac:dyDescent="0.2">
      <c r="A28" s="10" t="s">
        <v>42</v>
      </c>
      <c r="B28" s="48">
        <v>1</v>
      </c>
      <c r="C28" s="10" t="s">
        <v>43</v>
      </c>
      <c r="D28" s="11" t="s">
        <v>27</v>
      </c>
      <c r="E28" s="11" t="s">
        <v>315</v>
      </c>
      <c r="F28" s="11" t="b">
        <v>1</v>
      </c>
      <c r="G28" s="11" t="b">
        <v>1</v>
      </c>
      <c r="H28" s="11" t="b">
        <v>0</v>
      </c>
      <c r="I28" s="11" t="b">
        <v>0</v>
      </c>
      <c r="J28" s="11">
        <v>4</v>
      </c>
      <c r="K28" s="11">
        <v>5</v>
      </c>
      <c r="L28" s="73"/>
      <c r="M28" s="12"/>
      <c r="N28" s="12"/>
      <c r="O28" s="12"/>
      <c r="P28" s="12"/>
      <c r="Q28" s="12"/>
      <c r="R28" s="12"/>
      <c r="S28" s="49"/>
      <c r="T28" s="12"/>
      <c r="U28" s="12"/>
      <c r="V28" s="12"/>
      <c r="W28" s="12"/>
      <c r="X28" s="12"/>
      <c r="Y28" s="12"/>
      <c r="Z28" s="18"/>
      <c r="AC28" s="12"/>
      <c r="AD28" s="12"/>
      <c r="AE28" s="12"/>
      <c r="AF28" s="12"/>
    </row>
    <row r="29" spans="1:32" s="11" customFormat="1" x14ac:dyDescent="0.2">
      <c r="A29" s="10" t="s">
        <v>44</v>
      </c>
      <c r="B29" s="48">
        <v>1</v>
      </c>
      <c r="C29" s="10" t="s">
        <v>45</v>
      </c>
      <c r="D29" s="11" t="s">
        <v>27</v>
      </c>
      <c r="E29" s="11" t="s">
        <v>314</v>
      </c>
      <c r="F29" s="11" t="b">
        <v>1</v>
      </c>
      <c r="G29" s="11" t="b">
        <v>1</v>
      </c>
      <c r="H29" s="11" t="b">
        <v>0</v>
      </c>
      <c r="I29" s="11" t="b">
        <v>0</v>
      </c>
      <c r="J29" s="11">
        <v>2</v>
      </c>
      <c r="K29" s="11">
        <v>3</v>
      </c>
      <c r="L29" s="73"/>
      <c r="M29" s="12"/>
      <c r="N29" s="12"/>
      <c r="O29" s="12"/>
      <c r="P29" s="12"/>
      <c r="Q29" s="12"/>
      <c r="R29" s="12"/>
      <c r="S29" s="49"/>
      <c r="T29" s="12"/>
      <c r="U29" s="12"/>
      <c r="V29" s="12"/>
      <c r="W29" s="12"/>
      <c r="X29" s="12"/>
      <c r="Y29" s="12"/>
      <c r="Z29" s="18"/>
      <c r="AC29" s="12"/>
      <c r="AD29" s="12"/>
      <c r="AE29" s="12"/>
      <c r="AF29" s="12"/>
    </row>
    <row r="30" spans="1:32" s="11" customFormat="1" x14ac:dyDescent="0.2">
      <c r="A30" s="10" t="s">
        <v>46</v>
      </c>
      <c r="B30" s="48">
        <v>1</v>
      </c>
      <c r="C30" s="10" t="s">
        <v>47</v>
      </c>
      <c r="D30" s="11" t="s">
        <v>27</v>
      </c>
      <c r="E30" s="11" t="s">
        <v>316</v>
      </c>
      <c r="F30" s="11" t="b">
        <v>1</v>
      </c>
      <c r="G30" s="11" t="b">
        <v>1</v>
      </c>
      <c r="H30" s="11" t="b">
        <v>0</v>
      </c>
      <c r="I30" s="11" t="b">
        <v>0</v>
      </c>
      <c r="J30" s="11">
        <v>16</v>
      </c>
      <c r="K30" s="11">
        <v>17</v>
      </c>
      <c r="L30" s="76" t="b">
        <v>1</v>
      </c>
      <c r="M30" s="52" t="b">
        <v>0</v>
      </c>
      <c r="N30" s="52" t="b">
        <v>0</v>
      </c>
      <c r="O30" s="12" t="s">
        <v>486</v>
      </c>
      <c r="P30" s="12" t="s">
        <v>486</v>
      </c>
      <c r="Q30" s="12" t="s">
        <v>486</v>
      </c>
      <c r="R30" s="12" t="s">
        <v>486</v>
      </c>
      <c r="S30" s="51" t="b">
        <v>1</v>
      </c>
      <c r="T30" s="52" t="b">
        <v>0</v>
      </c>
      <c r="U30" s="52" t="b">
        <v>0</v>
      </c>
      <c r="V30" s="12" t="s">
        <v>486</v>
      </c>
      <c r="W30" s="12" t="s">
        <v>486</v>
      </c>
      <c r="X30" s="12" t="s">
        <v>486</v>
      </c>
      <c r="Y30" s="12" t="s">
        <v>486</v>
      </c>
      <c r="Z30" s="18"/>
      <c r="AC30" s="12"/>
      <c r="AD30" s="12"/>
      <c r="AE30" s="12"/>
      <c r="AF30" s="12"/>
    </row>
    <row r="31" spans="1:32" s="11" customFormat="1" x14ac:dyDescent="0.2">
      <c r="A31" s="10" t="s">
        <v>48</v>
      </c>
      <c r="B31" s="48">
        <v>1</v>
      </c>
      <c r="C31" s="10" t="s">
        <v>49</v>
      </c>
      <c r="D31" s="11" t="s">
        <v>27</v>
      </c>
      <c r="E31" s="11" t="s">
        <v>317</v>
      </c>
      <c r="F31" s="11" t="b">
        <v>1</v>
      </c>
      <c r="G31" s="11" t="b">
        <v>1</v>
      </c>
      <c r="H31" s="11" t="b">
        <v>0</v>
      </c>
      <c r="I31" s="11" t="b">
        <v>0</v>
      </c>
      <c r="J31" s="11">
        <v>36</v>
      </c>
      <c r="K31" s="11">
        <v>37</v>
      </c>
      <c r="L31" s="76" t="b">
        <v>1</v>
      </c>
      <c r="M31" s="52" t="b">
        <v>0</v>
      </c>
      <c r="N31" s="52" t="b">
        <v>1</v>
      </c>
      <c r="O31" s="12" t="s">
        <v>482</v>
      </c>
      <c r="P31" s="12" t="s">
        <v>482</v>
      </c>
      <c r="Q31" s="12" t="s">
        <v>482</v>
      </c>
      <c r="R31" s="12" t="s">
        <v>482</v>
      </c>
      <c r="S31" s="51" t="b">
        <v>1</v>
      </c>
      <c r="T31" s="52" t="b">
        <v>0</v>
      </c>
      <c r="U31" s="52" t="b">
        <v>1</v>
      </c>
      <c r="V31" s="12" t="s">
        <v>482</v>
      </c>
      <c r="W31" s="12" t="s">
        <v>482</v>
      </c>
      <c r="X31" s="12" t="s">
        <v>482</v>
      </c>
      <c r="Y31" s="12" t="s">
        <v>482</v>
      </c>
      <c r="Z31" s="18"/>
      <c r="AC31" s="12"/>
      <c r="AD31" s="12"/>
      <c r="AE31" s="12"/>
      <c r="AF31" s="12"/>
    </row>
    <row r="32" spans="1:32" s="11" customFormat="1" x14ac:dyDescent="0.2">
      <c r="A32" s="10" t="s">
        <v>50</v>
      </c>
      <c r="B32" s="48">
        <v>1</v>
      </c>
      <c r="C32" s="10" t="s">
        <v>49</v>
      </c>
      <c r="D32" s="11" t="s">
        <v>27</v>
      </c>
      <c r="E32" s="11" t="s">
        <v>318</v>
      </c>
      <c r="F32" s="11" t="b">
        <v>1</v>
      </c>
      <c r="G32" s="11" t="b">
        <v>1</v>
      </c>
      <c r="H32" s="11" t="b">
        <v>0</v>
      </c>
      <c r="I32" s="11" t="b">
        <v>0</v>
      </c>
      <c r="J32" s="11">
        <v>38</v>
      </c>
      <c r="K32" s="11">
        <v>39</v>
      </c>
      <c r="L32" s="76" t="b">
        <v>1</v>
      </c>
      <c r="M32" s="52" t="b">
        <v>1</v>
      </c>
      <c r="N32" s="52" t="b">
        <v>1</v>
      </c>
      <c r="O32" s="12" t="s">
        <v>485</v>
      </c>
      <c r="P32" s="12" t="s">
        <v>485</v>
      </c>
      <c r="Q32" s="12" t="s">
        <v>485</v>
      </c>
      <c r="R32" s="12" t="s">
        <v>485</v>
      </c>
      <c r="S32" s="51" t="b">
        <v>1</v>
      </c>
      <c r="T32" s="52" t="b">
        <v>1</v>
      </c>
      <c r="U32" s="52" t="b">
        <v>1</v>
      </c>
      <c r="V32" s="12" t="s">
        <v>485</v>
      </c>
      <c r="W32" s="12" t="s">
        <v>485</v>
      </c>
      <c r="X32" s="12" t="s">
        <v>485</v>
      </c>
      <c r="Y32" s="12" t="s">
        <v>485</v>
      </c>
      <c r="Z32" s="18"/>
      <c r="AC32" s="12"/>
      <c r="AD32" s="12"/>
      <c r="AE32" s="12"/>
      <c r="AF32" s="12"/>
    </row>
    <row r="33" spans="1:32" s="11" customFormat="1" x14ac:dyDescent="0.2">
      <c r="A33" s="10" t="s">
        <v>51</v>
      </c>
      <c r="B33" s="48">
        <v>1</v>
      </c>
      <c r="C33" s="10" t="s">
        <v>52</v>
      </c>
      <c r="D33" s="11" t="s">
        <v>27</v>
      </c>
      <c r="E33" s="11" t="s">
        <v>320</v>
      </c>
      <c r="F33" s="11" t="b">
        <v>1</v>
      </c>
      <c r="G33" s="11" t="b">
        <v>1</v>
      </c>
      <c r="H33" s="11" t="b">
        <v>0</v>
      </c>
      <c r="I33" s="11" t="b">
        <v>0</v>
      </c>
      <c r="J33" s="11">
        <v>32</v>
      </c>
      <c r="K33" s="11">
        <v>33</v>
      </c>
      <c r="L33" s="73"/>
      <c r="M33" s="12"/>
      <c r="N33" s="12"/>
      <c r="O33" s="12"/>
      <c r="P33" s="12"/>
      <c r="Q33" s="12"/>
      <c r="R33" s="12"/>
      <c r="S33" s="49"/>
      <c r="T33" s="12"/>
      <c r="U33" s="12"/>
      <c r="V33" s="12"/>
      <c r="W33" s="12"/>
      <c r="X33" s="12"/>
      <c r="Y33" s="12"/>
      <c r="Z33" s="18"/>
      <c r="AC33" s="12"/>
      <c r="AD33" s="12"/>
      <c r="AE33" s="12"/>
      <c r="AF33" s="12"/>
    </row>
    <row r="34" spans="1:32" s="11" customFormat="1" x14ac:dyDescent="0.2">
      <c r="A34" s="10" t="s">
        <v>53</v>
      </c>
      <c r="B34" s="48">
        <v>1</v>
      </c>
      <c r="C34" s="10" t="s">
        <v>54</v>
      </c>
      <c r="D34" s="11" t="s">
        <v>27</v>
      </c>
      <c r="E34" s="11" t="s">
        <v>319</v>
      </c>
      <c r="F34" s="11" t="b">
        <v>1</v>
      </c>
      <c r="G34" s="11" t="b">
        <v>1</v>
      </c>
      <c r="H34" s="11" t="b">
        <v>0</v>
      </c>
      <c r="I34" s="11" t="b">
        <v>0</v>
      </c>
      <c r="J34" s="11">
        <v>30</v>
      </c>
      <c r="K34" s="11">
        <v>31</v>
      </c>
      <c r="L34" s="73"/>
      <c r="M34" s="12"/>
      <c r="N34" s="12"/>
      <c r="O34" s="12"/>
      <c r="P34" s="12"/>
      <c r="Q34" s="12"/>
      <c r="R34" s="12"/>
      <c r="S34" s="49"/>
      <c r="T34" s="12"/>
      <c r="U34" s="12"/>
      <c r="V34" s="12"/>
      <c r="W34" s="12"/>
      <c r="X34" s="12"/>
      <c r="Y34" s="12"/>
      <c r="Z34" s="18"/>
      <c r="AC34" s="12"/>
      <c r="AD34" s="12"/>
      <c r="AE34" s="12"/>
      <c r="AF34" s="12"/>
    </row>
    <row r="35" spans="1:32" s="11" customFormat="1" x14ac:dyDescent="0.2">
      <c r="A35" s="10" t="s">
        <v>55</v>
      </c>
      <c r="B35" s="48">
        <v>1</v>
      </c>
      <c r="C35" s="10" t="s">
        <v>37</v>
      </c>
      <c r="D35" s="11" t="s">
        <v>27</v>
      </c>
      <c r="E35" s="11" t="s">
        <v>310</v>
      </c>
      <c r="F35" s="11" t="b">
        <v>1</v>
      </c>
      <c r="G35" s="11" t="b">
        <v>1</v>
      </c>
      <c r="H35" s="11" t="b">
        <v>1</v>
      </c>
      <c r="I35" s="11" t="b">
        <v>0</v>
      </c>
      <c r="J35" s="11">
        <v>22</v>
      </c>
      <c r="K35" s="11">
        <v>23</v>
      </c>
      <c r="L35" s="76" t="b">
        <v>1</v>
      </c>
      <c r="M35" s="52" t="b">
        <v>0</v>
      </c>
      <c r="N35" s="52" t="b">
        <v>0</v>
      </c>
      <c r="O35" s="12" t="s">
        <v>486</v>
      </c>
      <c r="P35" s="12" t="s">
        <v>486</v>
      </c>
      <c r="Q35" s="12" t="s">
        <v>486</v>
      </c>
      <c r="R35" s="12" t="s">
        <v>486</v>
      </c>
      <c r="S35" s="51" t="b">
        <v>1</v>
      </c>
      <c r="T35" s="52" t="b">
        <v>0</v>
      </c>
      <c r="U35" s="52" t="b">
        <v>0</v>
      </c>
      <c r="V35" s="12" t="s">
        <v>486</v>
      </c>
      <c r="W35" s="12" t="s">
        <v>486</v>
      </c>
      <c r="X35" s="12" t="s">
        <v>486</v>
      </c>
      <c r="Y35" s="12" t="s">
        <v>486</v>
      </c>
      <c r="Z35" s="18"/>
      <c r="AC35" s="12"/>
      <c r="AD35" s="12"/>
      <c r="AE35" s="12"/>
      <c r="AF35" s="12"/>
    </row>
    <row r="36" spans="1:32" s="61" customFormat="1" ht="17" customHeight="1" thickBot="1" x14ac:dyDescent="0.25">
      <c r="A36" s="59" t="s">
        <v>56</v>
      </c>
      <c r="B36" s="60">
        <v>1</v>
      </c>
      <c r="C36" s="59" t="s">
        <v>57</v>
      </c>
      <c r="D36" s="61" t="s">
        <v>27</v>
      </c>
      <c r="E36" s="61" t="s">
        <v>321</v>
      </c>
      <c r="F36" s="61" t="b">
        <v>1</v>
      </c>
      <c r="G36" s="61" t="b">
        <v>1</v>
      </c>
      <c r="H36" s="61" t="b">
        <v>1</v>
      </c>
      <c r="I36" s="61" t="b">
        <v>0</v>
      </c>
      <c r="J36" s="61">
        <v>34</v>
      </c>
      <c r="K36" s="61">
        <v>35</v>
      </c>
      <c r="L36" s="77"/>
      <c r="M36" s="63"/>
      <c r="N36" s="63"/>
      <c r="O36" s="63"/>
      <c r="P36" s="63"/>
      <c r="Q36" s="63"/>
      <c r="R36" s="63"/>
      <c r="S36" s="62"/>
      <c r="T36" s="63"/>
      <c r="U36" s="63"/>
      <c r="V36" s="63"/>
      <c r="W36" s="63"/>
      <c r="X36" s="63"/>
      <c r="Y36" s="63"/>
      <c r="Z36" s="64"/>
      <c r="AC36" s="63"/>
      <c r="AD36" s="63"/>
      <c r="AE36" s="63"/>
      <c r="AF36" s="63"/>
    </row>
    <row r="37" spans="1:32" x14ac:dyDescent="0.2">
      <c r="A37" s="2" t="s">
        <v>58</v>
      </c>
      <c r="B37" s="20">
        <v>1</v>
      </c>
      <c r="C37" s="2" t="s">
        <v>59</v>
      </c>
      <c r="D37" t="s">
        <v>60</v>
      </c>
      <c r="E37" t="s">
        <v>327</v>
      </c>
      <c r="F37" t="b">
        <v>0</v>
      </c>
      <c r="G37" t="b">
        <v>1</v>
      </c>
      <c r="H37" t="b">
        <v>1</v>
      </c>
      <c r="I37" t="b">
        <v>0</v>
      </c>
      <c r="J37">
        <v>30</v>
      </c>
      <c r="K37">
        <v>31</v>
      </c>
      <c r="L37" s="78" t="b">
        <v>1</v>
      </c>
      <c r="M37" t="b">
        <v>1</v>
      </c>
      <c r="N37" t="b">
        <v>1</v>
      </c>
      <c r="O37" s="8" t="s">
        <v>486</v>
      </c>
      <c r="P37" s="8" t="s">
        <v>486</v>
      </c>
      <c r="Q37" s="8" t="s">
        <v>486</v>
      </c>
      <c r="R37" s="8" t="s">
        <v>486</v>
      </c>
    </row>
    <row r="38" spans="1:32" x14ac:dyDescent="0.2">
      <c r="A38" s="2" t="s">
        <v>58</v>
      </c>
      <c r="B38" s="20">
        <v>2</v>
      </c>
      <c r="C38" s="2" t="s">
        <v>59</v>
      </c>
      <c r="D38" t="s">
        <v>60</v>
      </c>
      <c r="E38" t="s">
        <v>328</v>
      </c>
      <c r="F38" t="b">
        <v>0</v>
      </c>
      <c r="G38" t="b">
        <v>1</v>
      </c>
      <c r="H38" t="b">
        <v>1</v>
      </c>
      <c r="I38" t="b">
        <v>0</v>
      </c>
      <c r="J38">
        <v>32</v>
      </c>
      <c r="K38">
        <v>33</v>
      </c>
      <c r="L38" s="78" t="b">
        <v>1</v>
      </c>
      <c r="M38" t="b">
        <v>1</v>
      </c>
      <c r="N38" t="b">
        <v>1</v>
      </c>
      <c r="O38" s="8" t="s">
        <v>486</v>
      </c>
      <c r="P38" s="8" t="s">
        <v>486</v>
      </c>
      <c r="Q38" s="8" t="s">
        <v>486</v>
      </c>
      <c r="R38" s="8" t="s">
        <v>486</v>
      </c>
    </row>
    <row r="39" spans="1:32" x14ac:dyDescent="0.2">
      <c r="A39" s="2" t="s">
        <v>58</v>
      </c>
      <c r="B39" s="20">
        <v>3</v>
      </c>
      <c r="C39" s="2" t="s">
        <v>59</v>
      </c>
      <c r="D39" t="s">
        <v>60</v>
      </c>
      <c r="E39" t="s">
        <v>329</v>
      </c>
      <c r="F39" t="b">
        <v>0</v>
      </c>
      <c r="G39" t="b">
        <v>1</v>
      </c>
      <c r="H39" t="b">
        <v>1</v>
      </c>
      <c r="I39" t="b">
        <v>0</v>
      </c>
      <c r="J39">
        <v>34</v>
      </c>
      <c r="K39">
        <v>35</v>
      </c>
    </row>
    <row r="40" spans="1:32" x14ac:dyDescent="0.2">
      <c r="A40" s="2" t="s">
        <v>58</v>
      </c>
      <c r="B40" s="20">
        <v>4</v>
      </c>
      <c r="C40" s="2" t="s">
        <v>59</v>
      </c>
      <c r="D40" t="s">
        <v>60</v>
      </c>
      <c r="E40" t="s">
        <v>330</v>
      </c>
      <c r="F40" t="b">
        <v>0</v>
      </c>
      <c r="G40" t="b">
        <v>1</v>
      </c>
      <c r="H40" t="b">
        <v>1</v>
      </c>
      <c r="I40" t="b">
        <v>0</v>
      </c>
      <c r="J40">
        <v>36</v>
      </c>
      <c r="K40">
        <v>37</v>
      </c>
    </row>
    <row r="41" spans="1:32" x14ac:dyDescent="0.2">
      <c r="A41" s="2" t="s">
        <v>58</v>
      </c>
      <c r="B41" s="20">
        <v>5</v>
      </c>
      <c r="C41" s="2" t="s">
        <v>59</v>
      </c>
      <c r="D41" t="s">
        <v>60</v>
      </c>
      <c r="E41" t="s">
        <v>331</v>
      </c>
      <c r="F41" t="b">
        <v>0</v>
      </c>
      <c r="G41" t="b">
        <v>1</v>
      </c>
      <c r="H41" t="b">
        <v>1</v>
      </c>
      <c r="I41" t="b">
        <v>0</v>
      </c>
      <c r="J41">
        <v>38</v>
      </c>
      <c r="K41">
        <v>39</v>
      </c>
      <c r="L41" s="78" t="b">
        <v>1</v>
      </c>
      <c r="M41" t="b">
        <v>1</v>
      </c>
      <c r="N41" t="b">
        <v>1</v>
      </c>
      <c r="O41" s="8" t="s">
        <v>486</v>
      </c>
      <c r="P41" s="8" t="s">
        <v>486</v>
      </c>
      <c r="Q41" s="8" t="s">
        <v>486</v>
      </c>
      <c r="R41" s="8" t="s">
        <v>486</v>
      </c>
    </row>
    <row r="42" spans="1:32" x14ac:dyDescent="0.2">
      <c r="A42" s="2" t="s">
        <v>58</v>
      </c>
      <c r="B42" s="20">
        <v>6</v>
      </c>
      <c r="C42" s="2" t="s">
        <v>59</v>
      </c>
      <c r="D42" t="s">
        <v>60</v>
      </c>
      <c r="E42" t="s">
        <v>332</v>
      </c>
      <c r="F42" t="b">
        <v>0</v>
      </c>
      <c r="G42" t="b">
        <v>1</v>
      </c>
      <c r="H42" t="b">
        <v>1</v>
      </c>
      <c r="I42" t="b">
        <v>0</v>
      </c>
      <c r="J42">
        <v>40</v>
      </c>
      <c r="K42">
        <v>41</v>
      </c>
    </row>
    <row r="43" spans="1:32" x14ac:dyDescent="0.2">
      <c r="A43" s="2" t="s">
        <v>58</v>
      </c>
      <c r="B43" s="20">
        <v>7</v>
      </c>
      <c r="C43" s="2" t="s">
        <v>59</v>
      </c>
      <c r="D43" t="s">
        <v>60</v>
      </c>
      <c r="E43" t="s">
        <v>333</v>
      </c>
      <c r="F43" t="b">
        <v>0</v>
      </c>
      <c r="G43" t="b">
        <v>1</v>
      </c>
      <c r="H43" t="b">
        <v>1</v>
      </c>
      <c r="I43" t="b">
        <v>0</v>
      </c>
      <c r="J43">
        <v>42</v>
      </c>
      <c r="K43">
        <v>43</v>
      </c>
    </row>
    <row r="44" spans="1:32" x14ac:dyDescent="0.2">
      <c r="A44" s="2" t="s">
        <v>58</v>
      </c>
      <c r="B44" s="20">
        <v>8</v>
      </c>
      <c r="C44" s="2" t="s">
        <v>59</v>
      </c>
      <c r="D44" t="s">
        <v>60</v>
      </c>
      <c r="E44" t="s">
        <v>334</v>
      </c>
      <c r="F44" t="b">
        <v>0</v>
      </c>
      <c r="G44" t="b">
        <v>1</v>
      </c>
      <c r="H44" t="b">
        <v>1</v>
      </c>
      <c r="I44" t="b">
        <v>0</v>
      </c>
      <c r="J44">
        <v>44</v>
      </c>
      <c r="K44">
        <v>45</v>
      </c>
    </row>
    <row r="45" spans="1:32" x14ac:dyDescent="0.2">
      <c r="A45" s="2" t="s">
        <v>58</v>
      </c>
      <c r="B45" s="20">
        <v>9</v>
      </c>
      <c r="C45" s="2" t="s">
        <v>59</v>
      </c>
      <c r="D45" t="s">
        <v>60</v>
      </c>
      <c r="E45" t="s">
        <v>335</v>
      </c>
      <c r="F45" t="b">
        <v>0</v>
      </c>
      <c r="G45" t="b">
        <v>1</v>
      </c>
      <c r="H45" t="b">
        <v>1</v>
      </c>
      <c r="I45" t="b">
        <v>0</v>
      </c>
      <c r="J45">
        <v>46</v>
      </c>
      <c r="K45">
        <v>47</v>
      </c>
    </row>
    <row r="46" spans="1:32" s="4" customFormat="1" x14ac:dyDescent="0.2">
      <c r="A46" s="3" t="s">
        <v>58</v>
      </c>
      <c r="B46" s="21">
        <v>10</v>
      </c>
      <c r="C46" s="3" t="s">
        <v>59</v>
      </c>
      <c r="D46" s="4" t="s">
        <v>60</v>
      </c>
      <c r="E46" s="4" t="s">
        <v>336</v>
      </c>
      <c r="F46" s="4" t="b">
        <v>0</v>
      </c>
      <c r="G46" s="4" t="b">
        <v>1</v>
      </c>
      <c r="H46" s="4" t="b">
        <v>1</v>
      </c>
      <c r="I46" s="4" t="b">
        <v>0</v>
      </c>
      <c r="J46" s="4">
        <v>48</v>
      </c>
      <c r="K46" s="4">
        <v>49</v>
      </c>
      <c r="L46" s="71"/>
      <c r="M46" s="9"/>
      <c r="N46" s="9"/>
      <c r="O46" s="9"/>
      <c r="P46" s="9"/>
      <c r="Q46" s="9"/>
      <c r="R46" s="9"/>
      <c r="S46" s="42"/>
      <c r="T46" s="9"/>
      <c r="U46" s="9"/>
      <c r="V46" s="9"/>
      <c r="W46" s="9"/>
      <c r="X46" s="9"/>
      <c r="Y46" s="9"/>
      <c r="Z46" s="17"/>
      <c r="AC46" s="9"/>
      <c r="AD46" s="9"/>
      <c r="AE46" s="9"/>
      <c r="AF46" s="9"/>
    </row>
    <row r="47" spans="1:32" s="11" customFormat="1" x14ac:dyDescent="0.2">
      <c r="A47" s="10" t="s">
        <v>61</v>
      </c>
      <c r="B47" s="48">
        <v>1</v>
      </c>
      <c r="C47" s="10" t="s">
        <v>62</v>
      </c>
      <c r="D47" s="11" t="s">
        <v>60</v>
      </c>
      <c r="E47" s="11" t="s">
        <v>337</v>
      </c>
      <c r="F47" s="11" t="b">
        <v>1</v>
      </c>
      <c r="G47" s="11" t="b">
        <v>1</v>
      </c>
      <c r="H47" t="b">
        <v>1</v>
      </c>
      <c r="I47" t="b">
        <v>0</v>
      </c>
      <c r="J47" s="11">
        <v>26</v>
      </c>
      <c r="K47" s="11">
        <v>27</v>
      </c>
      <c r="L47" s="79" t="b">
        <v>1</v>
      </c>
      <c r="M47" s="11" t="b">
        <v>1</v>
      </c>
      <c r="N47" s="11" t="b">
        <v>1</v>
      </c>
      <c r="O47" s="12" t="s">
        <v>486</v>
      </c>
      <c r="P47" s="12" t="s">
        <v>486</v>
      </c>
      <c r="Q47" s="12" t="s">
        <v>486</v>
      </c>
      <c r="R47" s="12" t="s">
        <v>486</v>
      </c>
      <c r="S47" s="49"/>
      <c r="T47" s="12"/>
      <c r="U47" s="12"/>
      <c r="V47" s="12"/>
      <c r="W47" s="12"/>
      <c r="X47" s="12"/>
      <c r="Y47" s="12"/>
      <c r="Z47" s="18"/>
      <c r="AC47" s="12"/>
      <c r="AD47" s="12"/>
      <c r="AE47" s="12"/>
      <c r="AF47" s="12"/>
    </row>
    <row r="48" spans="1:32" s="11" customFormat="1" x14ac:dyDescent="0.2">
      <c r="A48" s="10" t="s">
        <v>63</v>
      </c>
      <c r="B48" s="48">
        <v>1</v>
      </c>
      <c r="C48" s="10" t="s">
        <v>64</v>
      </c>
      <c r="D48" s="11" t="s">
        <v>60</v>
      </c>
      <c r="E48" s="11" t="s">
        <v>339</v>
      </c>
      <c r="F48" s="11" t="b">
        <v>0</v>
      </c>
      <c r="G48" s="11" t="b">
        <v>0</v>
      </c>
      <c r="H48" s="11" t="b">
        <v>0</v>
      </c>
      <c r="I48" s="11" t="b">
        <v>0</v>
      </c>
      <c r="J48" s="11">
        <v>52</v>
      </c>
      <c r="K48" s="11">
        <v>53</v>
      </c>
      <c r="L48" s="73"/>
      <c r="M48" s="12"/>
      <c r="N48" s="12"/>
      <c r="O48" s="12"/>
      <c r="P48" s="12"/>
      <c r="Q48" s="12"/>
      <c r="R48" s="12"/>
      <c r="S48" s="49"/>
      <c r="T48" s="12"/>
      <c r="U48" s="12"/>
      <c r="V48" s="12"/>
      <c r="W48" s="12"/>
      <c r="X48" s="12"/>
      <c r="Y48" s="12"/>
      <c r="Z48" s="18"/>
      <c r="AC48" s="12"/>
      <c r="AD48" s="12"/>
      <c r="AE48" s="12"/>
      <c r="AF48" s="12"/>
    </row>
    <row r="49" spans="1:32" s="11" customFormat="1" x14ac:dyDescent="0.2">
      <c r="A49" s="10" t="s">
        <v>65</v>
      </c>
      <c r="B49" s="48">
        <v>1</v>
      </c>
      <c r="C49" s="10" t="s">
        <v>66</v>
      </c>
      <c r="D49" s="11" t="s">
        <v>60</v>
      </c>
      <c r="E49" s="11" t="s">
        <v>340</v>
      </c>
      <c r="F49" s="11" t="b">
        <v>1</v>
      </c>
      <c r="G49" s="11" t="b">
        <v>1</v>
      </c>
      <c r="H49" s="11" t="b">
        <v>1</v>
      </c>
      <c r="I49" t="b">
        <v>0</v>
      </c>
      <c r="J49" s="11">
        <v>24</v>
      </c>
      <c r="K49" s="11">
        <v>25</v>
      </c>
      <c r="L49" s="73"/>
      <c r="M49" s="12"/>
      <c r="N49" s="12"/>
      <c r="O49" s="12"/>
      <c r="P49" s="12"/>
      <c r="Q49" s="12"/>
      <c r="R49" s="12"/>
      <c r="S49" s="49"/>
      <c r="T49" s="12"/>
      <c r="U49" s="12"/>
      <c r="V49" s="12"/>
      <c r="W49" s="12"/>
      <c r="X49" s="12"/>
      <c r="Y49" s="12"/>
      <c r="Z49" s="18"/>
      <c r="AC49" s="12"/>
      <c r="AD49" s="12"/>
      <c r="AE49" s="12"/>
      <c r="AF49" s="12"/>
    </row>
    <row r="50" spans="1:32" s="11" customFormat="1" x14ac:dyDescent="0.2">
      <c r="A50" s="10" t="s">
        <v>67</v>
      </c>
      <c r="B50" s="48">
        <v>1</v>
      </c>
      <c r="C50" s="10" t="s">
        <v>68</v>
      </c>
      <c r="D50" s="11" t="s">
        <v>60</v>
      </c>
      <c r="E50" s="11" t="s">
        <v>341</v>
      </c>
      <c r="F50" s="11" t="b">
        <v>1</v>
      </c>
      <c r="G50" s="11" t="b">
        <v>1</v>
      </c>
      <c r="H50" s="11" t="b">
        <v>0</v>
      </c>
      <c r="I50" s="11" t="b">
        <v>0</v>
      </c>
      <c r="J50" s="11">
        <v>16</v>
      </c>
      <c r="K50" s="11">
        <v>17</v>
      </c>
      <c r="L50" s="73"/>
      <c r="M50" s="12"/>
      <c r="N50" s="12"/>
      <c r="O50" s="12"/>
      <c r="P50" s="12"/>
      <c r="Q50" s="12"/>
      <c r="R50" s="12"/>
      <c r="S50" s="49"/>
      <c r="T50" s="12"/>
      <c r="U50" s="12"/>
      <c r="V50" s="12"/>
      <c r="W50" s="12"/>
      <c r="X50" s="12"/>
      <c r="Y50" s="12"/>
      <c r="Z50" s="18"/>
      <c r="AC50" s="12"/>
      <c r="AD50" s="12"/>
      <c r="AE50" s="12"/>
      <c r="AF50" s="12"/>
    </row>
    <row r="51" spans="1:32" s="11" customFormat="1" x14ac:dyDescent="0.2">
      <c r="A51" s="10" t="s">
        <v>69</v>
      </c>
      <c r="B51" s="48">
        <v>1</v>
      </c>
      <c r="C51" s="10" t="s">
        <v>68</v>
      </c>
      <c r="D51" s="11" t="s">
        <v>60</v>
      </c>
      <c r="E51" s="11" t="s">
        <v>338</v>
      </c>
      <c r="F51" s="11" t="b">
        <v>1</v>
      </c>
      <c r="G51" s="11" t="b">
        <v>1</v>
      </c>
      <c r="H51" s="11" t="b">
        <v>0</v>
      </c>
      <c r="I51" s="11" t="b">
        <v>0</v>
      </c>
      <c r="J51" s="11">
        <v>28</v>
      </c>
      <c r="K51" s="11">
        <v>29</v>
      </c>
      <c r="L51" s="73"/>
      <c r="M51" s="12"/>
      <c r="N51" s="12"/>
      <c r="O51" s="12"/>
      <c r="P51" s="12"/>
      <c r="Q51" s="12"/>
      <c r="R51" s="12"/>
      <c r="S51" s="49"/>
      <c r="T51" s="12"/>
      <c r="U51" s="12"/>
      <c r="V51" s="12"/>
      <c r="W51" s="12"/>
      <c r="X51" s="12"/>
      <c r="Y51" s="12"/>
      <c r="Z51" s="18"/>
      <c r="AC51" s="12"/>
      <c r="AD51" s="12"/>
      <c r="AE51" s="12"/>
      <c r="AF51" s="12"/>
    </row>
    <row r="52" spans="1:32" x14ac:dyDescent="0.2">
      <c r="A52" s="2" t="s">
        <v>70</v>
      </c>
      <c r="B52" s="20">
        <v>1</v>
      </c>
      <c r="C52" s="2" t="s">
        <v>71</v>
      </c>
      <c r="D52" t="s">
        <v>60</v>
      </c>
      <c r="E52" t="s">
        <v>342</v>
      </c>
      <c r="F52" t="b">
        <v>1</v>
      </c>
      <c r="G52" t="b">
        <v>1</v>
      </c>
      <c r="H52" t="b">
        <v>0</v>
      </c>
      <c r="I52" t="b">
        <v>0</v>
      </c>
      <c r="J52">
        <v>4</v>
      </c>
      <c r="K52">
        <v>5</v>
      </c>
      <c r="L52" s="78" t="b">
        <v>1</v>
      </c>
      <c r="M52" t="b">
        <v>1</v>
      </c>
      <c r="N52" t="b">
        <v>1</v>
      </c>
      <c r="O52" s="8" t="s">
        <v>486</v>
      </c>
      <c r="P52" s="8" t="s">
        <v>486</v>
      </c>
      <c r="Q52" s="8" t="s">
        <v>486</v>
      </c>
      <c r="R52" s="8" t="s">
        <v>486</v>
      </c>
      <c r="S52" s="16" t="b">
        <v>1</v>
      </c>
      <c r="T52" t="b">
        <v>0</v>
      </c>
      <c r="U52" t="b">
        <v>0</v>
      </c>
      <c r="V52" s="8" t="s">
        <v>486</v>
      </c>
      <c r="W52" s="8" t="s">
        <v>486</v>
      </c>
      <c r="X52" s="8" t="s">
        <v>486</v>
      </c>
      <c r="Y52" s="8" t="s">
        <v>486</v>
      </c>
      <c r="Z52" s="16" t="b">
        <v>1</v>
      </c>
      <c r="AA52" t="b">
        <v>0</v>
      </c>
      <c r="AB52" t="b">
        <v>0</v>
      </c>
      <c r="AC52" s="8" t="s">
        <v>486</v>
      </c>
      <c r="AD52" s="8" t="s">
        <v>486</v>
      </c>
      <c r="AE52" s="8" t="s">
        <v>486</v>
      </c>
      <c r="AF52" s="8" t="s">
        <v>486</v>
      </c>
    </row>
    <row r="53" spans="1:32" s="4" customFormat="1" x14ac:dyDescent="0.2">
      <c r="A53" s="3" t="s">
        <v>70</v>
      </c>
      <c r="B53" s="21">
        <v>2</v>
      </c>
      <c r="C53" s="3" t="s">
        <v>71</v>
      </c>
      <c r="D53" s="4" t="s">
        <v>60</v>
      </c>
      <c r="E53" s="4" t="s">
        <v>343</v>
      </c>
      <c r="F53" s="4" t="b">
        <v>1</v>
      </c>
      <c r="G53" s="4" t="b">
        <v>1</v>
      </c>
      <c r="H53" s="4" t="b">
        <v>0</v>
      </c>
      <c r="I53" s="4" t="b">
        <v>0</v>
      </c>
      <c r="J53" s="4">
        <v>6</v>
      </c>
      <c r="K53" s="4">
        <v>7</v>
      </c>
      <c r="L53" s="80" t="b">
        <v>1</v>
      </c>
      <c r="M53" s="4" t="b">
        <v>1</v>
      </c>
      <c r="N53" s="4" t="b">
        <v>1</v>
      </c>
      <c r="O53" s="9" t="s">
        <v>487</v>
      </c>
      <c r="P53" s="9" t="s">
        <v>487</v>
      </c>
      <c r="Q53" s="9" t="s">
        <v>487</v>
      </c>
      <c r="R53" s="9" t="s">
        <v>487</v>
      </c>
      <c r="S53" s="17" t="b">
        <v>1</v>
      </c>
      <c r="T53" s="4" t="b">
        <v>1</v>
      </c>
      <c r="U53" s="4" t="b">
        <v>1</v>
      </c>
      <c r="V53" s="9" t="s">
        <v>483</v>
      </c>
      <c r="W53" s="9" t="s">
        <v>483</v>
      </c>
      <c r="X53" s="9" t="s">
        <v>483</v>
      </c>
      <c r="Y53" s="9" t="s">
        <v>483</v>
      </c>
      <c r="Z53" s="17" t="b">
        <v>1</v>
      </c>
      <c r="AA53" s="4" t="b">
        <v>1</v>
      </c>
      <c r="AB53" s="4" t="b">
        <v>1</v>
      </c>
      <c r="AC53" s="9" t="s">
        <v>485</v>
      </c>
      <c r="AD53" s="9" t="s">
        <v>485</v>
      </c>
      <c r="AE53" s="9" t="s">
        <v>485</v>
      </c>
      <c r="AF53" s="9" t="s">
        <v>485</v>
      </c>
    </row>
    <row r="54" spans="1:32" x14ac:dyDescent="0.2">
      <c r="A54" s="2" t="s">
        <v>72</v>
      </c>
      <c r="B54" s="20">
        <v>1</v>
      </c>
      <c r="C54" s="2" t="s">
        <v>73</v>
      </c>
      <c r="D54" t="s">
        <v>60</v>
      </c>
      <c r="E54" t="s">
        <v>345</v>
      </c>
      <c r="F54" t="b">
        <v>1</v>
      </c>
      <c r="G54" t="b">
        <v>1</v>
      </c>
      <c r="H54" t="b">
        <v>0</v>
      </c>
      <c r="I54" t="b">
        <v>0</v>
      </c>
      <c r="J54">
        <v>20</v>
      </c>
      <c r="K54">
        <v>21</v>
      </c>
      <c r="L54" s="78" t="b">
        <v>1</v>
      </c>
      <c r="M54" t="b">
        <v>1</v>
      </c>
      <c r="N54" t="b">
        <v>0</v>
      </c>
      <c r="O54" s="8" t="s">
        <v>486</v>
      </c>
      <c r="P54" s="8" t="s">
        <v>486</v>
      </c>
      <c r="Q54" s="8" t="s">
        <v>486</v>
      </c>
      <c r="R54" s="8" t="s">
        <v>486</v>
      </c>
    </row>
    <row r="55" spans="1:32" s="4" customFormat="1" x14ac:dyDescent="0.2">
      <c r="A55" s="3" t="s">
        <v>72</v>
      </c>
      <c r="B55" s="21">
        <v>2</v>
      </c>
      <c r="C55" s="3" t="s">
        <v>73</v>
      </c>
      <c r="D55" s="4" t="s">
        <v>60</v>
      </c>
      <c r="E55" s="4" t="s">
        <v>346</v>
      </c>
      <c r="F55" s="4" t="b">
        <v>1</v>
      </c>
      <c r="G55" s="4" t="b">
        <v>1</v>
      </c>
      <c r="H55" s="4" t="b">
        <v>1</v>
      </c>
      <c r="I55" s="4" t="b">
        <v>0</v>
      </c>
      <c r="J55" s="4">
        <v>22</v>
      </c>
      <c r="K55" s="4">
        <v>23</v>
      </c>
      <c r="L55" s="80" t="b">
        <v>1</v>
      </c>
      <c r="M55" s="4" t="b">
        <v>1</v>
      </c>
      <c r="N55" s="4" t="b">
        <v>1</v>
      </c>
      <c r="O55" s="9" t="s">
        <v>486</v>
      </c>
      <c r="P55" s="9" t="s">
        <v>486</v>
      </c>
      <c r="Q55" s="9" t="s">
        <v>486</v>
      </c>
      <c r="R55" s="9" t="s">
        <v>486</v>
      </c>
      <c r="S55" s="42"/>
      <c r="T55" s="9"/>
      <c r="U55" s="9"/>
      <c r="V55" s="9"/>
      <c r="W55" s="9"/>
      <c r="X55" s="9"/>
      <c r="Y55" s="9"/>
      <c r="Z55" s="17"/>
      <c r="AC55" s="9"/>
      <c r="AD55" s="9"/>
      <c r="AE55" s="9"/>
      <c r="AF55" s="9"/>
    </row>
    <row r="56" spans="1:32" x14ac:dyDescent="0.2">
      <c r="A56" s="2" t="s">
        <v>74</v>
      </c>
      <c r="B56" s="20">
        <v>1</v>
      </c>
      <c r="C56" s="2" t="s">
        <v>75</v>
      </c>
      <c r="D56" t="s">
        <v>60</v>
      </c>
      <c r="E56" t="s">
        <v>347</v>
      </c>
      <c r="F56" t="b">
        <v>1</v>
      </c>
      <c r="G56" t="b">
        <v>1</v>
      </c>
      <c r="H56" s="26" t="b">
        <v>0</v>
      </c>
      <c r="I56" s="91" t="b">
        <v>0</v>
      </c>
      <c r="J56">
        <v>10</v>
      </c>
      <c r="K56">
        <v>11</v>
      </c>
    </row>
    <row r="57" spans="1:32" s="4" customFormat="1" x14ac:dyDescent="0.2">
      <c r="A57" s="3" t="s">
        <v>74</v>
      </c>
      <c r="B57" s="21">
        <v>2</v>
      </c>
      <c r="C57" s="3" t="s">
        <v>75</v>
      </c>
      <c r="D57" s="4" t="s">
        <v>60</v>
      </c>
      <c r="E57" s="4" t="s">
        <v>348</v>
      </c>
      <c r="F57" s="4" t="b">
        <v>1</v>
      </c>
      <c r="G57" s="4" t="b">
        <v>1</v>
      </c>
      <c r="H57" s="26" t="b">
        <v>0</v>
      </c>
      <c r="I57" s="26" t="b">
        <v>0</v>
      </c>
      <c r="J57" s="4">
        <v>12</v>
      </c>
      <c r="K57" s="4">
        <v>13</v>
      </c>
      <c r="L57" s="71"/>
      <c r="M57" s="9"/>
      <c r="N57" s="9"/>
      <c r="O57" s="9"/>
      <c r="P57" s="9"/>
      <c r="Q57" s="9"/>
      <c r="R57" s="9"/>
      <c r="S57" s="42"/>
      <c r="T57" s="9"/>
      <c r="U57" s="9"/>
      <c r="V57" s="9"/>
      <c r="W57" s="9"/>
      <c r="X57" s="9"/>
      <c r="Y57" s="9"/>
      <c r="Z57" s="17"/>
      <c r="AC57" s="9"/>
      <c r="AD57" s="9"/>
      <c r="AE57" s="9"/>
      <c r="AF57" s="9"/>
    </row>
    <row r="58" spans="1:32" s="4" customFormat="1" x14ac:dyDescent="0.2">
      <c r="A58" s="3" t="s">
        <v>76</v>
      </c>
      <c r="B58" s="21">
        <v>1</v>
      </c>
      <c r="C58" s="3" t="s">
        <v>77</v>
      </c>
      <c r="D58" s="4" t="s">
        <v>60</v>
      </c>
      <c r="E58" s="4" t="s">
        <v>349</v>
      </c>
      <c r="F58" s="4" t="b">
        <v>0</v>
      </c>
      <c r="G58" s="4" t="b">
        <v>0</v>
      </c>
      <c r="H58" s="11" t="b">
        <v>0</v>
      </c>
      <c r="I58" s="11" t="b">
        <v>0</v>
      </c>
      <c r="J58" s="4">
        <v>18</v>
      </c>
      <c r="K58" s="4">
        <v>19</v>
      </c>
      <c r="L58" s="80" t="b">
        <v>1</v>
      </c>
      <c r="M58" s="4" t="b">
        <v>1</v>
      </c>
      <c r="N58" s="4" t="b">
        <v>1</v>
      </c>
      <c r="O58" s="9" t="s">
        <v>487</v>
      </c>
      <c r="P58" s="9" t="s">
        <v>487</v>
      </c>
      <c r="Q58" s="9" t="s">
        <v>487</v>
      </c>
      <c r="R58" s="9" t="s">
        <v>487</v>
      </c>
      <c r="S58" s="17" t="b">
        <v>1</v>
      </c>
      <c r="T58" s="4" t="b">
        <v>1</v>
      </c>
      <c r="U58" s="4" t="b">
        <v>1</v>
      </c>
      <c r="V58" s="9" t="s">
        <v>487</v>
      </c>
      <c r="W58" s="9" t="s">
        <v>487</v>
      </c>
      <c r="X58" s="9" t="s">
        <v>487</v>
      </c>
      <c r="Y58" s="9" t="s">
        <v>487</v>
      </c>
      <c r="Z58" s="17"/>
      <c r="AC58" s="9"/>
      <c r="AD58" s="9"/>
      <c r="AE58" s="9"/>
      <c r="AF58" s="9"/>
    </row>
    <row r="59" spans="1:32" s="4" customFormat="1" x14ac:dyDescent="0.2">
      <c r="A59" s="3" t="s">
        <v>78</v>
      </c>
      <c r="B59" s="21">
        <v>1</v>
      </c>
      <c r="C59" s="3" t="s">
        <v>79</v>
      </c>
      <c r="D59" s="4" t="s">
        <v>60</v>
      </c>
      <c r="E59" s="4" t="s">
        <v>350</v>
      </c>
      <c r="F59" s="4" t="b">
        <v>1</v>
      </c>
      <c r="G59" s="4" t="b">
        <v>1</v>
      </c>
      <c r="H59" s="11" t="b">
        <v>0</v>
      </c>
      <c r="I59" s="11" t="b">
        <v>0</v>
      </c>
      <c r="J59" s="4">
        <v>50</v>
      </c>
      <c r="K59" s="4">
        <v>51</v>
      </c>
      <c r="L59" s="71"/>
      <c r="M59" s="9"/>
      <c r="N59" s="9"/>
      <c r="O59" s="9"/>
      <c r="P59" s="9"/>
      <c r="Q59" s="9"/>
      <c r="R59" s="9"/>
      <c r="S59" s="42"/>
      <c r="T59" s="9"/>
      <c r="U59" s="9"/>
      <c r="V59" s="9"/>
      <c r="W59" s="9"/>
      <c r="X59" s="9"/>
      <c r="Y59" s="9"/>
      <c r="Z59" s="17"/>
      <c r="AC59" s="9"/>
      <c r="AD59" s="9"/>
      <c r="AE59" s="9"/>
      <c r="AF59" s="9"/>
    </row>
    <row r="60" spans="1:32" x14ac:dyDescent="0.2">
      <c r="A60" s="2" t="s">
        <v>80</v>
      </c>
      <c r="B60" s="20">
        <v>1</v>
      </c>
      <c r="C60" s="2" t="s">
        <v>81</v>
      </c>
      <c r="D60" t="s">
        <v>60</v>
      </c>
      <c r="E60" t="s">
        <v>351</v>
      </c>
      <c r="F60" t="b">
        <v>1</v>
      </c>
      <c r="G60" t="b">
        <v>1</v>
      </c>
      <c r="H60" t="b">
        <v>0</v>
      </c>
      <c r="I60" t="b">
        <v>0</v>
      </c>
      <c r="J60">
        <v>0</v>
      </c>
      <c r="K60">
        <v>1</v>
      </c>
      <c r="L60" s="78" t="b">
        <v>1</v>
      </c>
      <c r="M60" t="b">
        <v>1</v>
      </c>
      <c r="N60" t="b">
        <v>1</v>
      </c>
      <c r="O60" s="8" t="s">
        <v>486</v>
      </c>
      <c r="P60" s="8" t="s">
        <v>486</v>
      </c>
      <c r="Q60" s="8" t="s">
        <v>486</v>
      </c>
      <c r="R60" s="8" t="s">
        <v>486</v>
      </c>
      <c r="S60" s="16" t="b">
        <v>1</v>
      </c>
      <c r="T60" t="b">
        <v>0</v>
      </c>
      <c r="U60" t="b">
        <v>0</v>
      </c>
      <c r="V60" s="8" t="s">
        <v>486</v>
      </c>
      <c r="W60" s="8" t="s">
        <v>486</v>
      </c>
      <c r="X60" s="8" t="s">
        <v>486</v>
      </c>
      <c r="Y60" s="8" t="s">
        <v>486</v>
      </c>
    </row>
    <row r="61" spans="1:32" s="4" customFormat="1" x14ac:dyDescent="0.2">
      <c r="A61" s="3" t="s">
        <v>80</v>
      </c>
      <c r="B61" s="21">
        <v>2</v>
      </c>
      <c r="C61" s="3" t="s">
        <v>81</v>
      </c>
      <c r="D61" s="4" t="s">
        <v>60</v>
      </c>
      <c r="E61" s="4" t="s">
        <v>352</v>
      </c>
      <c r="F61" s="4" t="b">
        <v>1</v>
      </c>
      <c r="G61" s="4" t="b">
        <v>1</v>
      </c>
      <c r="H61" s="4" t="b">
        <v>0</v>
      </c>
      <c r="I61" s="4" t="b">
        <v>0</v>
      </c>
      <c r="J61" s="4">
        <v>2</v>
      </c>
      <c r="K61" s="4">
        <v>3</v>
      </c>
      <c r="L61" s="80" t="b">
        <v>1</v>
      </c>
      <c r="M61" s="4" t="b">
        <v>1</v>
      </c>
      <c r="N61" s="4" t="b">
        <v>1</v>
      </c>
      <c r="O61" s="9" t="s">
        <v>486</v>
      </c>
      <c r="P61" s="9" t="s">
        <v>486</v>
      </c>
      <c r="Q61" s="9" t="s">
        <v>486</v>
      </c>
      <c r="R61" s="9" t="s">
        <v>486</v>
      </c>
      <c r="S61" s="17" t="b">
        <v>1</v>
      </c>
      <c r="T61" s="4" t="b">
        <v>1</v>
      </c>
      <c r="U61" s="4" t="b">
        <v>1</v>
      </c>
      <c r="V61" s="9" t="s">
        <v>486</v>
      </c>
      <c r="W61" s="9" t="s">
        <v>486</v>
      </c>
      <c r="X61" s="9" t="s">
        <v>486</v>
      </c>
      <c r="Y61" s="9" t="s">
        <v>486</v>
      </c>
      <c r="Z61" s="17" t="b">
        <v>1</v>
      </c>
      <c r="AA61" s="4" t="b">
        <v>1</v>
      </c>
      <c r="AB61" s="4" t="b">
        <v>1</v>
      </c>
      <c r="AC61" s="9" t="s">
        <v>486</v>
      </c>
      <c r="AD61" s="9" t="s">
        <v>486</v>
      </c>
      <c r="AE61" s="9" t="s">
        <v>486</v>
      </c>
      <c r="AF61" s="9" t="s">
        <v>486</v>
      </c>
    </row>
    <row r="62" spans="1:32" s="4" customFormat="1" x14ac:dyDescent="0.2">
      <c r="A62" s="3" t="s">
        <v>82</v>
      </c>
      <c r="B62" s="21">
        <v>1</v>
      </c>
      <c r="C62" s="3" t="s">
        <v>83</v>
      </c>
      <c r="D62" s="4" t="s">
        <v>60</v>
      </c>
      <c r="E62" s="4" t="s">
        <v>353</v>
      </c>
      <c r="F62" s="4" t="b">
        <v>1</v>
      </c>
      <c r="G62" s="4" t="b">
        <v>1</v>
      </c>
      <c r="H62" s="4" t="b">
        <v>0</v>
      </c>
      <c r="I62" s="4" t="b">
        <v>0</v>
      </c>
      <c r="J62" s="4">
        <v>14</v>
      </c>
      <c r="K62" s="4">
        <v>15</v>
      </c>
      <c r="L62" s="71"/>
      <c r="M62" s="9"/>
      <c r="N62" s="9"/>
      <c r="O62" s="9"/>
      <c r="P62" s="9"/>
      <c r="Q62" s="9"/>
      <c r="R62" s="9"/>
      <c r="S62" s="42"/>
      <c r="T62" s="9"/>
      <c r="U62" s="9"/>
      <c r="V62" s="9"/>
      <c r="W62" s="9"/>
      <c r="X62" s="9"/>
      <c r="Y62" s="9"/>
      <c r="Z62" s="17"/>
      <c r="AC62" s="9"/>
      <c r="AD62" s="9"/>
      <c r="AE62" s="9"/>
      <c r="AF62" s="9"/>
    </row>
    <row r="63" spans="1:32" s="61" customFormat="1" ht="17" thickBot="1" x14ac:dyDescent="0.25">
      <c r="A63" s="59" t="s">
        <v>84</v>
      </c>
      <c r="B63" s="60">
        <v>1</v>
      </c>
      <c r="C63" s="59" t="s">
        <v>85</v>
      </c>
      <c r="D63" s="61" t="s">
        <v>60</v>
      </c>
      <c r="E63" s="61" t="s">
        <v>344</v>
      </c>
      <c r="F63" s="61" t="b">
        <v>1</v>
      </c>
      <c r="G63" s="61" t="b">
        <v>1</v>
      </c>
      <c r="H63" s="61" t="b">
        <v>1</v>
      </c>
      <c r="I63" s="61" t="b">
        <v>0</v>
      </c>
      <c r="J63" s="61">
        <v>8</v>
      </c>
      <c r="K63" s="61">
        <v>9</v>
      </c>
      <c r="L63" s="81" t="b">
        <v>1</v>
      </c>
      <c r="M63" s="61" t="b">
        <v>1</v>
      </c>
      <c r="N63" s="61" t="b">
        <v>1</v>
      </c>
      <c r="O63" s="63" t="s">
        <v>486</v>
      </c>
      <c r="P63" s="63" t="s">
        <v>486</v>
      </c>
      <c r="Q63" s="63" t="s">
        <v>486</v>
      </c>
      <c r="R63" s="63" t="s">
        <v>485</v>
      </c>
      <c r="S63" s="64" t="b">
        <v>1</v>
      </c>
      <c r="T63" s="61" t="b">
        <v>1</v>
      </c>
      <c r="U63" s="61" t="b">
        <v>1</v>
      </c>
      <c r="V63" s="63" t="s">
        <v>485</v>
      </c>
      <c r="W63" s="63" t="s">
        <v>485</v>
      </c>
      <c r="X63" s="63" t="s">
        <v>485</v>
      </c>
      <c r="Y63" s="63" t="s">
        <v>486</v>
      </c>
      <c r="Z63" s="64" t="b">
        <v>1</v>
      </c>
      <c r="AA63" s="61" t="b">
        <v>1</v>
      </c>
      <c r="AB63" s="61" t="b">
        <v>1</v>
      </c>
      <c r="AC63" s="63" t="s">
        <v>486</v>
      </c>
      <c r="AD63" s="63" t="s">
        <v>486</v>
      </c>
      <c r="AE63" s="63" t="s">
        <v>486</v>
      </c>
      <c r="AF63" s="63" t="s">
        <v>486</v>
      </c>
    </row>
    <row r="64" spans="1:32" x14ac:dyDescent="0.2">
      <c r="A64" s="2" t="s">
        <v>86</v>
      </c>
      <c r="B64" s="20">
        <v>1</v>
      </c>
      <c r="C64" s="2" t="s">
        <v>87</v>
      </c>
      <c r="D64" t="s">
        <v>88</v>
      </c>
      <c r="E64" t="s">
        <v>354</v>
      </c>
      <c r="F64" t="b">
        <v>1</v>
      </c>
      <c r="G64" t="b">
        <v>1</v>
      </c>
      <c r="H64" t="b">
        <v>1</v>
      </c>
      <c r="I64" t="b">
        <v>0</v>
      </c>
      <c r="J64">
        <v>26</v>
      </c>
      <c r="K64">
        <v>27</v>
      </c>
      <c r="L64" s="78" t="b">
        <v>1</v>
      </c>
      <c r="M64" t="b">
        <v>1</v>
      </c>
      <c r="N64" t="b">
        <v>1</v>
      </c>
      <c r="O64" s="8" t="s">
        <v>487</v>
      </c>
      <c r="P64" s="8" t="s">
        <v>487</v>
      </c>
      <c r="Q64" s="8" t="s">
        <v>487</v>
      </c>
      <c r="R64" s="8" t="s">
        <v>485</v>
      </c>
      <c r="Z64" s="16" t="b">
        <v>1</v>
      </c>
      <c r="AA64" t="b">
        <v>0</v>
      </c>
      <c r="AB64" t="b">
        <v>0</v>
      </c>
      <c r="AC64" s="8" t="s">
        <v>486</v>
      </c>
      <c r="AD64" s="8" t="s">
        <v>486</v>
      </c>
      <c r="AE64" s="8" t="s">
        <v>486</v>
      </c>
      <c r="AF64" s="8" t="s">
        <v>486</v>
      </c>
    </row>
    <row r="65" spans="1:32" x14ac:dyDescent="0.2">
      <c r="A65" s="2" t="s">
        <v>86</v>
      </c>
      <c r="B65" s="20">
        <v>2</v>
      </c>
      <c r="C65" s="2" t="s">
        <v>87</v>
      </c>
      <c r="D65" t="s">
        <v>88</v>
      </c>
      <c r="E65" t="s">
        <v>355</v>
      </c>
      <c r="F65" t="b">
        <v>1</v>
      </c>
      <c r="G65" t="b">
        <v>1</v>
      </c>
      <c r="H65" t="b">
        <v>0</v>
      </c>
      <c r="I65" t="b">
        <v>1</v>
      </c>
      <c r="J65">
        <v>28</v>
      </c>
      <c r="K65">
        <v>29</v>
      </c>
      <c r="L65" s="78" t="b">
        <v>1</v>
      </c>
      <c r="M65" t="b">
        <v>1</v>
      </c>
      <c r="N65" t="b">
        <v>1</v>
      </c>
      <c r="O65" s="8" t="s">
        <v>486</v>
      </c>
      <c r="P65" s="8" t="s">
        <v>486</v>
      </c>
      <c r="Q65" s="8" t="s">
        <v>486</v>
      </c>
      <c r="R65" s="8" t="s">
        <v>486</v>
      </c>
      <c r="Z65" s="16" t="b">
        <v>1</v>
      </c>
      <c r="AA65" t="b">
        <v>0</v>
      </c>
      <c r="AB65" t="b">
        <v>0</v>
      </c>
      <c r="AC65" s="8" t="s">
        <v>486</v>
      </c>
      <c r="AD65" s="8" t="s">
        <v>486</v>
      </c>
      <c r="AE65" s="8" t="s">
        <v>486</v>
      </c>
      <c r="AF65" s="8" t="s">
        <v>486</v>
      </c>
    </row>
    <row r="66" spans="1:32" s="4" customFormat="1" x14ac:dyDescent="0.2">
      <c r="A66" s="3" t="s">
        <v>86</v>
      </c>
      <c r="B66" s="21">
        <v>3</v>
      </c>
      <c r="C66" s="3" t="s">
        <v>87</v>
      </c>
      <c r="D66" s="4" t="s">
        <v>88</v>
      </c>
      <c r="E66" s="4" t="s">
        <v>356</v>
      </c>
      <c r="F66" s="4" t="b">
        <v>1</v>
      </c>
      <c r="G66" s="4" t="b">
        <v>1</v>
      </c>
      <c r="H66" s="4" t="b">
        <v>0</v>
      </c>
      <c r="I66" s="4" t="b">
        <v>1</v>
      </c>
      <c r="J66" s="4">
        <v>30</v>
      </c>
      <c r="K66" s="4">
        <v>31</v>
      </c>
      <c r="L66" s="80" t="b">
        <v>1</v>
      </c>
      <c r="M66" s="4" t="b">
        <v>1</v>
      </c>
      <c r="N66" s="4" t="b">
        <v>1</v>
      </c>
      <c r="O66" s="9" t="s">
        <v>486</v>
      </c>
      <c r="P66" s="9" t="s">
        <v>486</v>
      </c>
      <c r="Q66" s="9" t="s">
        <v>486</v>
      </c>
      <c r="R66" s="9" t="s">
        <v>486</v>
      </c>
      <c r="S66" s="42"/>
      <c r="T66" s="9"/>
      <c r="U66" s="9"/>
      <c r="V66" s="9"/>
      <c r="W66" s="9"/>
      <c r="X66" s="9"/>
      <c r="Y66" s="9"/>
      <c r="Z66" s="17" t="b">
        <v>1</v>
      </c>
      <c r="AA66" s="4" t="b">
        <v>0</v>
      </c>
      <c r="AB66" s="4" t="b">
        <v>0</v>
      </c>
      <c r="AC66" s="9" t="s">
        <v>486</v>
      </c>
      <c r="AD66" s="9" t="s">
        <v>486</v>
      </c>
      <c r="AE66" s="9" t="s">
        <v>486</v>
      </c>
      <c r="AF66" s="9" t="s">
        <v>486</v>
      </c>
    </row>
    <row r="67" spans="1:32" s="4" customFormat="1" x14ac:dyDescent="0.2">
      <c r="A67" s="3" t="s">
        <v>89</v>
      </c>
      <c r="B67" s="21">
        <v>1</v>
      </c>
      <c r="C67" s="3" t="s">
        <v>90</v>
      </c>
      <c r="D67" s="4" t="s">
        <v>88</v>
      </c>
      <c r="E67" s="4" t="s">
        <v>358</v>
      </c>
      <c r="F67" s="4" t="b">
        <v>1</v>
      </c>
      <c r="G67" s="4" t="b">
        <v>1</v>
      </c>
      <c r="H67" s="4" t="b">
        <v>0</v>
      </c>
      <c r="I67" s="4" t="b">
        <v>1</v>
      </c>
      <c r="J67" s="4">
        <v>34</v>
      </c>
      <c r="K67" s="4">
        <v>35</v>
      </c>
      <c r="L67" s="80" t="b">
        <v>1</v>
      </c>
      <c r="M67" s="4" t="b">
        <v>1</v>
      </c>
      <c r="N67" s="4" t="b">
        <v>1</v>
      </c>
      <c r="O67" s="9" t="s">
        <v>486</v>
      </c>
      <c r="P67" s="9" t="s">
        <v>486</v>
      </c>
      <c r="Q67" s="9" t="s">
        <v>486</v>
      </c>
      <c r="R67" s="9" t="s">
        <v>486</v>
      </c>
      <c r="S67" s="42"/>
      <c r="T67" s="9"/>
      <c r="U67" s="9"/>
      <c r="V67" s="9"/>
      <c r="W67" s="9"/>
      <c r="X67" s="9"/>
      <c r="Y67" s="9"/>
      <c r="Z67" s="17" t="b">
        <v>1</v>
      </c>
      <c r="AA67" s="4" t="b">
        <v>0</v>
      </c>
      <c r="AB67" s="4" t="b">
        <v>0</v>
      </c>
      <c r="AC67" s="9" t="s">
        <v>486</v>
      </c>
      <c r="AD67" s="9" t="s">
        <v>486</v>
      </c>
      <c r="AE67" s="9" t="s">
        <v>486</v>
      </c>
      <c r="AF67" s="9" t="s">
        <v>486</v>
      </c>
    </row>
    <row r="68" spans="1:32" s="4" customFormat="1" x14ac:dyDescent="0.2">
      <c r="A68" s="3" t="s">
        <v>91</v>
      </c>
      <c r="B68" s="21">
        <v>1</v>
      </c>
      <c r="C68" s="3" t="s">
        <v>92</v>
      </c>
      <c r="D68" s="4" t="s">
        <v>88</v>
      </c>
      <c r="E68" s="4" t="s">
        <v>362</v>
      </c>
      <c r="F68" s="4" t="b">
        <v>1</v>
      </c>
      <c r="G68" s="4" t="b">
        <v>1</v>
      </c>
      <c r="H68" s="4" t="b">
        <v>1</v>
      </c>
      <c r="I68" s="4" t="b">
        <v>0</v>
      </c>
      <c r="J68" s="4">
        <v>18</v>
      </c>
      <c r="K68" s="4">
        <v>19</v>
      </c>
      <c r="L68" s="80" t="b">
        <v>1</v>
      </c>
      <c r="M68" s="4" t="b">
        <v>1</v>
      </c>
      <c r="N68" s="4" t="b">
        <v>1</v>
      </c>
      <c r="O68" s="9" t="s">
        <v>486</v>
      </c>
      <c r="P68" s="9" t="s">
        <v>486</v>
      </c>
      <c r="Q68" s="9" t="s">
        <v>486</v>
      </c>
      <c r="R68" s="9" t="s">
        <v>486</v>
      </c>
      <c r="S68" s="42"/>
      <c r="T68" s="9"/>
      <c r="U68" s="9"/>
      <c r="V68" s="9"/>
      <c r="W68" s="9"/>
      <c r="X68" s="9"/>
      <c r="Y68" s="9"/>
      <c r="Z68" s="17"/>
      <c r="AC68" s="9"/>
      <c r="AD68" s="9"/>
      <c r="AE68" s="9"/>
      <c r="AF68" s="9"/>
    </row>
    <row r="69" spans="1:32" s="4" customFormat="1" x14ac:dyDescent="0.2">
      <c r="A69" s="3" t="s">
        <v>93</v>
      </c>
      <c r="B69" s="21">
        <v>1</v>
      </c>
      <c r="C69" s="3" t="s">
        <v>94</v>
      </c>
      <c r="D69" s="4" t="s">
        <v>88</v>
      </c>
      <c r="E69" s="4" t="s">
        <v>366</v>
      </c>
      <c r="F69" s="4" t="b">
        <v>1</v>
      </c>
      <c r="G69" s="4" t="b">
        <v>1</v>
      </c>
      <c r="H69" s="4" t="b">
        <v>1</v>
      </c>
      <c r="I69" s="4" t="b">
        <v>0</v>
      </c>
      <c r="J69" s="4">
        <v>54</v>
      </c>
      <c r="K69" s="4">
        <v>55</v>
      </c>
      <c r="L69" s="71"/>
      <c r="M69" s="9"/>
      <c r="N69" s="9"/>
      <c r="O69" s="9"/>
      <c r="P69" s="9"/>
      <c r="Q69" s="9"/>
      <c r="R69" s="9"/>
      <c r="S69" s="42"/>
      <c r="T69" s="9"/>
      <c r="U69" s="9"/>
      <c r="V69" s="9"/>
      <c r="W69" s="9"/>
      <c r="X69" s="9"/>
      <c r="Y69" s="9"/>
      <c r="Z69" s="17"/>
      <c r="AC69" s="9"/>
      <c r="AD69" s="9"/>
      <c r="AE69" s="9"/>
      <c r="AF69" s="9"/>
    </row>
    <row r="70" spans="1:32" x14ac:dyDescent="0.2">
      <c r="A70" s="2" t="s">
        <v>95</v>
      </c>
      <c r="B70" s="20">
        <v>1</v>
      </c>
      <c r="C70" s="2" t="s">
        <v>96</v>
      </c>
      <c r="D70" t="s">
        <v>88</v>
      </c>
      <c r="E70" t="s">
        <v>367</v>
      </c>
      <c r="F70" t="b">
        <v>1</v>
      </c>
      <c r="G70" t="b">
        <v>1</v>
      </c>
      <c r="H70" t="b">
        <v>1</v>
      </c>
      <c r="I70" s="14" t="b">
        <v>0</v>
      </c>
      <c r="J70">
        <v>36</v>
      </c>
      <c r="K70">
        <v>37</v>
      </c>
    </row>
    <row r="71" spans="1:32" x14ac:dyDescent="0.2">
      <c r="A71" s="2" t="s">
        <v>95</v>
      </c>
      <c r="B71" s="20">
        <v>2</v>
      </c>
      <c r="C71" s="2" t="s">
        <v>96</v>
      </c>
      <c r="D71" t="s">
        <v>88</v>
      </c>
      <c r="E71" t="s">
        <v>368</v>
      </c>
      <c r="F71" t="b">
        <v>1</v>
      </c>
      <c r="G71" t="b">
        <v>1</v>
      </c>
      <c r="H71" t="b">
        <v>1</v>
      </c>
      <c r="I71" t="b">
        <v>0</v>
      </c>
      <c r="J71">
        <v>38</v>
      </c>
      <c r="K71">
        <v>39</v>
      </c>
    </row>
    <row r="72" spans="1:32" x14ac:dyDescent="0.2">
      <c r="A72" s="2" t="s">
        <v>95</v>
      </c>
      <c r="B72" s="20">
        <v>3</v>
      </c>
      <c r="C72" s="2" t="s">
        <v>96</v>
      </c>
      <c r="D72" t="s">
        <v>88</v>
      </c>
      <c r="E72" t="s">
        <v>369</v>
      </c>
      <c r="F72" t="b">
        <v>1</v>
      </c>
      <c r="G72" t="b">
        <v>1</v>
      </c>
      <c r="H72" t="b">
        <v>1</v>
      </c>
      <c r="I72" t="b">
        <v>0</v>
      </c>
      <c r="J72">
        <v>40</v>
      </c>
      <c r="K72">
        <v>41</v>
      </c>
    </row>
    <row r="73" spans="1:32" s="4" customFormat="1" x14ac:dyDescent="0.2">
      <c r="A73" s="3" t="s">
        <v>95</v>
      </c>
      <c r="B73" s="21">
        <v>4</v>
      </c>
      <c r="C73" s="3" t="s">
        <v>96</v>
      </c>
      <c r="D73" s="4" t="s">
        <v>88</v>
      </c>
      <c r="E73" s="4" t="s">
        <v>370</v>
      </c>
      <c r="F73" s="4" t="b">
        <v>1</v>
      </c>
      <c r="G73" s="4" t="b">
        <v>1</v>
      </c>
      <c r="H73" s="4" t="b">
        <v>1</v>
      </c>
      <c r="I73" s="4" t="b">
        <v>0</v>
      </c>
      <c r="J73" s="4">
        <v>42</v>
      </c>
      <c r="K73" s="4">
        <v>43</v>
      </c>
      <c r="L73" s="71"/>
      <c r="M73" s="9"/>
      <c r="N73" s="9"/>
      <c r="O73" s="9"/>
      <c r="P73" s="9"/>
      <c r="Q73" s="9"/>
      <c r="R73" s="9"/>
      <c r="S73" s="42"/>
      <c r="T73" s="9"/>
      <c r="U73" s="9"/>
      <c r="V73" s="9"/>
      <c r="W73" s="9"/>
      <c r="X73" s="9"/>
      <c r="Y73" s="9"/>
      <c r="Z73" s="17"/>
      <c r="AC73" s="9"/>
      <c r="AD73" s="9"/>
      <c r="AE73" s="9"/>
      <c r="AF73" s="9"/>
    </row>
    <row r="74" spans="1:32" s="4" customFormat="1" x14ac:dyDescent="0.2">
      <c r="A74" s="3" t="s">
        <v>97</v>
      </c>
      <c r="B74" s="21">
        <v>1</v>
      </c>
      <c r="C74" s="3" t="s">
        <v>98</v>
      </c>
      <c r="D74" s="4" t="s">
        <v>88</v>
      </c>
      <c r="E74" s="4" t="s">
        <v>357</v>
      </c>
      <c r="F74" s="4" t="b">
        <v>0</v>
      </c>
      <c r="G74" s="4" t="b">
        <v>1</v>
      </c>
      <c r="H74" s="11" t="b">
        <v>1</v>
      </c>
      <c r="I74" s="11" t="b">
        <v>0</v>
      </c>
      <c r="J74" s="4">
        <v>32</v>
      </c>
      <c r="K74" s="4">
        <v>33</v>
      </c>
      <c r="L74" s="80" t="b">
        <v>1</v>
      </c>
      <c r="M74" s="4" t="b">
        <v>1</v>
      </c>
      <c r="N74" s="4" t="b">
        <v>1</v>
      </c>
      <c r="O74" s="9" t="s">
        <v>486</v>
      </c>
      <c r="P74" s="9" t="s">
        <v>486</v>
      </c>
      <c r="Q74" s="9" t="s">
        <v>486</v>
      </c>
      <c r="R74" s="9" t="s">
        <v>486</v>
      </c>
      <c r="S74" s="42"/>
      <c r="T74" s="9"/>
      <c r="U74" s="9"/>
      <c r="V74" s="9"/>
      <c r="W74" s="9"/>
      <c r="X74" s="9"/>
      <c r="Y74" s="9"/>
      <c r="Z74" s="17" t="b">
        <v>1</v>
      </c>
      <c r="AA74" s="4" t="b">
        <v>0</v>
      </c>
      <c r="AB74" s="4" t="b">
        <v>0</v>
      </c>
      <c r="AC74" s="9" t="s">
        <v>486</v>
      </c>
      <c r="AD74" s="9" t="s">
        <v>486</v>
      </c>
      <c r="AE74" s="9" t="s">
        <v>486</v>
      </c>
      <c r="AF74" s="9" t="s">
        <v>486</v>
      </c>
    </row>
    <row r="75" spans="1:32" s="4" customFormat="1" x14ac:dyDescent="0.2">
      <c r="A75" s="3" t="s">
        <v>99</v>
      </c>
      <c r="B75" s="21">
        <v>1</v>
      </c>
      <c r="C75" s="3" t="s">
        <v>100</v>
      </c>
      <c r="D75" s="4" t="s">
        <v>88</v>
      </c>
      <c r="E75" s="4" t="s">
        <v>365</v>
      </c>
      <c r="F75" s="4" t="b">
        <v>1</v>
      </c>
      <c r="G75" s="4" t="b">
        <v>1</v>
      </c>
      <c r="H75" s="4" t="b">
        <v>0</v>
      </c>
      <c r="I75" s="4" t="b">
        <v>0</v>
      </c>
      <c r="J75" s="4">
        <v>24</v>
      </c>
      <c r="K75" s="4">
        <v>25</v>
      </c>
      <c r="L75" s="80" t="b">
        <v>1</v>
      </c>
      <c r="M75" s="4" t="b">
        <v>1</v>
      </c>
      <c r="N75" s="4" t="b">
        <v>1</v>
      </c>
      <c r="O75" s="9" t="s">
        <v>486</v>
      </c>
      <c r="P75" s="9" t="s">
        <v>486</v>
      </c>
      <c r="Q75" s="9" t="s">
        <v>486</v>
      </c>
      <c r="R75" s="9" t="s">
        <v>486</v>
      </c>
      <c r="S75" s="17" t="b">
        <v>1</v>
      </c>
      <c r="T75" s="4" t="b">
        <v>0</v>
      </c>
      <c r="U75" s="4" t="b">
        <v>0</v>
      </c>
      <c r="V75" s="9" t="s">
        <v>486</v>
      </c>
      <c r="W75" s="9" t="s">
        <v>486</v>
      </c>
      <c r="X75" s="9" t="s">
        <v>486</v>
      </c>
      <c r="Y75" s="9" t="s">
        <v>486</v>
      </c>
      <c r="Z75" s="17" t="b">
        <v>1</v>
      </c>
      <c r="AA75" s="4" t="b">
        <v>0</v>
      </c>
      <c r="AB75" s="4" t="b">
        <v>0</v>
      </c>
      <c r="AC75" s="9" t="s">
        <v>486</v>
      </c>
      <c r="AD75" s="9" t="s">
        <v>486</v>
      </c>
      <c r="AE75" s="9" t="s">
        <v>486</v>
      </c>
      <c r="AF75" s="9" t="s">
        <v>486</v>
      </c>
    </row>
    <row r="76" spans="1:32" s="4" customFormat="1" x14ac:dyDescent="0.2">
      <c r="A76" s="3" t="s">
        <v>101</v>
      </c>
      <c r="B76" s="21">
        <v>1</v>
      </c>
      <c r="C76" s="3" t="s">
        <v>102</v>
      </c>
      <c r="D76" s="4" t="s">
        <v>88</v>
      </c>
      <c r="E76" s="4" t="s">
        <v>361</v>
      </c>
      <c r="F76" s="4" t="b">
        <v>0</v>
      </c>
      <c r="G76" s="4" t="b">
        <v>0</v>
      </c>
      <c r="H76" s="4" t="b">
        <v>1</v>
      </c>
      <c r="I76" s="4" t="b">
        <v>0</v>
      </c>
      <c r="J76" s="4">
        <v>16</v>
      </c>
      <c r="K76" s="4">
        <v>17</v>
      </c>
      <c r="L76" s="80" t="b">
        <v>1</v>
      </c>
      <c r="M76" s="4" t="b">
        <v>1</v>
      </c>
      <c r="N76" s="4" t="b">
        <v>1</v>
      </c>
      <c r="O76" s="9" t="s">
        <v>486</v>
      </c>
      <c r="P76" s="9" t="s">
        <v>486</v>
      </c>
      <c r="Q76" s="9" t="s">
        <v>486</v>
      </c>
      <c r="R76" s="9" t="s">
        <v>486</v>
      </c>
      <c r="S76" s="17" t="b">
        <v>1</v>
      </c>
      <c r="T76" s="4" t="b">
        <v>1</v>
      </c>
      <c r="U76" s="4" t="b">
        <v>1</v>
      </c>
      <c r="V76" s="9" t="s">
        <v>486</v>
      </c>
      <c r="W76" s="9" t="s">
        <v>486</v>
      </c>
      <c r="X76" s="9" t="s">
        <v>486</v>
      </c>
      <c r="Y76" s="9" t="s">
        <v>486</v>
      </c>
      <c r="Z76" s="17" t="b">
        <v>1</v>
      </c>
      <c r="AA76" s="4" t="b">
        <v>1</v>
      </c>
      <c r="AB76" s="4" t="b">
        <v>1</v>
      </c>
      <c r="AC76" s="9" t="s">
        <v>486</v>
      </c>
      <c r="AD76" s="9" t="s">
        <v>486</v>
      </c>
      <c r="AE76" s="9" t="s">
        <v>486</v>
      </c>
      <c r="AF76" s="9" t="s">
        <v>486</v>
      </c>
    </row>
    <row r="77" spans="1:32" s="4" customFormat="1" x14ac:dyDescent="0.2">
      <c r="A77" s="3" t="s">
        <v>103</v>
      </c>
      <c r="B77" s="21">
        <v>1</v>
      </c>
      <c r="C77" s="3" t="s">
        <v>104</v>
      </c>
      <c r="D77" s="4" t="s">
        <v>88</v>
      </c>
      <c r="E77" s="4" t="s">
        <v>364</v>
      </c>
      <c r="F77" s="4" t="b">
        <v>1</v>
      </c>
      <c r="G77" s="4" t="b">
        <v>1</v>
      </c>
      <c r="H77" s="4" t="b">
        <v>1</v>
      </c>
      <c r="I77" s="4" t="b">
        <v>0</v>
      </c>
      <c r="J77" s="4">
        <v>22</v>
      </c>
      <c r="K77" s="4">
        <v>23</v>
      </c>
      <c r="L77" s="80" t="b">
        <v>1</v>
      </c>
      <c r="M77" s="4" t="b">
        <v>1</v>
      </c>
      <c r="N77" s="4" t="b">
        <v>1</v>
      </c>
      <c r="O77" s="9" t="s">
        <v>486</v>
      </c>
      <c r="P77" s="9" t="s">
        <v>486</v>
      </c>
      <c r="Q77" s="9" t="s">
        <v>486</v>
      </c>
      <c r="R77" s="9" t="s">
        <v>486</v>
      </c>
      <c r="S77" s="42"/>
      <c r="T77" s="9"/>
      <c r="U77" s="9"/>
      <c r="V77" s="9"/>
      <c r="W77" s="9"/>
      <c r="X77" s="9"/>
      <c r="Y77" s="9"/>
      <c r="Z77" s="17" t="b">
        <v>1</v>
      </c>
      <c r="AA77" s="4" t="b">
        <v>1</v>
      </c>
      <c r="AB77" s="4" t="b">
        <v>1</v>
      </c>
      <c r="AC77" s="9" t="s">
        <v>487</v>
      </c>
      <c r="AD77" s="9" t="s">
        <v>487</v>
      </c>
      <c r="AE77" s="9" t="s">
        <v>487</v>
      </c>
      <c r="AF77" s="9" t="s">
        <v>487</v>
      </c>
    </row>
    <row r="78" spans="1:32" s="4" customFormat="1" x14ac:dyDescent="0.2">
      <c r="A78" s="3" t="s">
        <v>105</v>
      </c>
      <c r="B78" s="21">
        <v>1</v>
      </c>
      <c r="C78" s="3" t="s">
        <v>106</v>
      </c>
      <c r="D78" s="4" t="s">
        <v>88</v>
      </c>
      <c r="E78" s="4" t="s">
        <v>359</v>
      </c>
      <c r="F78" s="4" t="b">
        <v>1</v>
      </c>
      <c r="G78" s="4" t="b">
        <v>1</v>
      </c>
      <c r="H78" s="4" t="b">
        <v>0</v>
      </c>
      <c r="I78" s="4" t="b">
        <v>0</v>
      </c>
      <c r="J78" s="4">
        <v>12</v>
      </c>
      <c r="K78" s="4">
        <v>13</v>
      </c>
      <c r="L78" s="71"/>
      <c r="M78" s="9"/>
      <c r="N78" s="9"/>
      <c r="O78" s="9"/>
      <c r="P78" s="9"/>
      <c r="Q78" s="9"/>
      <c r="R78" s="9"/>
      <c r="S78" s="42"/>
      <c r="T78" s="9"/>
      <c r="U78" s="9"/>
      <c r="V78" s="9"/>
      <c r="W78" s="9"/>
      <c r="X78" s="9"/>
      <c r="Y78" s="9"/>
      <c r="Z78" s="17"/>
      <c r="AC78" s="9"/>
      <c r="AD78" s="9"/>
      <c r="AE78" s="9"/>
      <c r="AF78" s="9"/>
    </row>
    <row r="79" spans="1:32" x14ac:dyDescent="0.2">
      <c r="A79" s="2" t="s">
        <v>107</v>
      </c>
      <c r="B79" s="20">
        <v>1</v>
      </c>
      <c r="C79" s="2" t="s">
        <v>108</v>
      </c>
      <c r="D79" t="s">
        <v>88</v>
      </c>
      <c r="E79" t="s">
        <v>371</v>
      </c>
      <c r="F79" t="b">
        <v>0</v>
      </c>
      <c r="G79" t="b">
        <v>0</v>
      </c>
      <c r="H79" s="14" t="b">
        <v>1</v>
      </c>
      <c r="I79" s="14" t="b">
        <v>0</v>
      </c>
      <c r="J79">
        <v>48</v>
      </c>
      <c r="K79">
        <v>49</v>
      </c>
      <c r="L79" s="78" t="b">
        <v>1</v>
      </c>
      <c r="M79" t="b">
        <v>1</v>
      </c>
      <c r="N79" t="b">
        <v>1</v>
      </c>
      <c r="O79" s="8" t="s">
        <v>486</v>
      </c>
      <c r="P79" s="8" t="s">
        <v>486</v>
      </c>
      <c r="Q79" s="8" t="s">
        <v>486</v>
      </c>
      <c r="R79" s="8" t="s">
        <v>486</v>
      </c>
    </row>
    <row r="80" spans="1:32" x14ac:dyDescent="0.2">
      <c r="A80" s="2" t="s">
        <v>107</v>
      </c>
      <c r="B80" s="20">
        <v>2</v>
      </c>
      <c r="C80" s="2" t="s">
        <v>108</v>
      </c>
      <c r="D80" t="s">
        <v>88</v>
      </c>
      <c r="E80" t="s">
        <v>372</v>
      </c>
      <c r="F80" t="b">
        <v>0</v>
      </c>
      <c r="G80" t="b">
        <v>0</v>
      </c>
      <c r="H80" t="b">
        <v>1</v>
      </c>
      <c r="I80" t="b">
        <v>0</v>
      </c>
      <c r="J80">
        <v>50</v>
      </c>
      <c r="K80">
        <v>51</v>
      </c>
    </row>
    <row r="81" spans="1:32" s="4" customFormat="1" x14ac:dyDescent="0.2">
      <c r="A81" s="3" t="s">
        <v>107</v>
      </c>
      <c r="B81" s="21">
        <v>3</v>
      </c>
      <c r="C81" s="3" t="s">
        <v>108</v>
      </c>
      <c r="D81" s="4" t="s">
        <v>88</v>
      </c>
      <c r="E81" s="4" t="s">
        <v>373</v>
      </c>
      <c r="F81" s="4" t="b">
        <v>0</v>
      </c>
      <c r="G81" s="4" t="b">
        <v>0</v>
      </c>
      <c r="H81" s="4" t="b">
        <v>1</v>
      </c>
      <c r="I81" s="4" t="b">
        <v>0</v>
      </c>
      <c r="J81" s="4">
        <v>52</v>
      </c>
      <c r="K81" s="4">
        <v>53</v>
      </c>
      <c r="L81" s="80" t="b">
        <v>1</v>
      </c>
      <c r="M81" s="4" t="b">
        <v>1</v>
      </c>
      <c r="N81" s="4" t="b">
        <v>1</v>
      </c>
      <c r="O81" s="9" t="s">
        <v>486</v>
      </c>
      <c r="P81" s="9" t="s">
        <v>486</v>
      </c>
      <c r="Q81" s="9" t="s">
        <v>486</v>
      </c>
      <c r="R81" s="9" t="s">
        <v>486</v>
      </c>
      <c r="S81" s="42"/>
      <c r="T81" s="9"/>
      <c r="U81" s="9"/>
      <c r="V81" s="9"/>
      <c r="W81" s="9"/>
      <c r="X81" s="9"/>
      <c r="Y81" s="9"/>
      <c r="Z81" s="17"/>
      <c r="AC81" s="9"/>
      <c r="AD81" s="9"/>
      <c r="AE81" s="9"/>
      <c r="AF81" s="9"/>
    </row>
    <row r="82" spans="1:32" s="4" customFormat="1" x14ac:dyDescent="0.2">
      <c r="A82" s="3" t="s">
        <v>109</v>
      </c>
      <c r="B82" s="21">
        <v>1</v>
      </c>
      <c r="C82" s="3" t="s">
        <v>110</v>
      </c>
      <c r="D82" s="4" t="s">
        <v>88</v>
      </c>
      <c r="E82" s="4" t="s">
        <v>360</v>
      </c>
      <c r="F82" s="4" t="b">
        <v>1</v>
      </c>
      <c r="G82" s="4" t="b">
        <v>1</v>
      </c>
      <c r="H82" s="4" t="b">
        <v>0</v>
      </c>
      <c r="I82" s="4" t="b">
        <v>0</v>
      </c>
      <c r="J82" s="4">
        <v>14</v>
      </c>
      <c r="K82" s="4">
        <v>15</v>
      </c>
      <c r="L82" s="80" t="b">
        <v>1</v>
      </c>
      <c r="M82" s="4" t="b">
        <v>1</v>
      </c>
      <c r="N82" s="4" t="b">
        <v>1</v>
      </c>
      <c r="O82" s="9" t="s">
        <v>487</v>
      </c>
      <c r="P82" s="9" t="s">
        <v>487</v>
      </c>
      <c r="Q82" s="9" t="s">
        <v>487</v>
      </c>
      <c r="R82" s="9" t="s">
        <v>487</v>
      </c>
      <c r="S82" s="17" t="b">
        <v>1</v>
      </c>
      <c r="T82" s="4" t="b">
        <v>1</v>
      </c>
      <c r="U82" s="4" t="b">
        <v>1</v>
      </c>
      <c r="V82" s="9" t="s">
        <v>485</v>
      </c>
      <c r="W82" s="9" t="s">
        <v>485</v>
      </c>
      <c r="X82" s="9" t="s">
        <v>485</v>
      </c>
      <c r="Y82" s="9" t="s">
        <v>485</v>
      </c>
      <c r="Z82" s="17" t="b">
        <v>1</v>
      </c>
      <c r="AA82" s="4" t="b">
        <v>1</v>
      </c>
      <c r="AB82" s="4" t="b">
        <v>1</v>
      </c>
      <c r="AC82" s="9" t="s">
        <v>487</v>
      </c>
      <c r="AD82" s="9" t="s">
        <v>487</v>
      </c>
      <c r="AE82" s="9" t="s">
        <v>487</v>
      </c>
      <c r="AF82" s="9" t="s">
        <v>487</v>
      </c>
    </row>
    <row r="83" spans="1:32" x14ac:dyDescent="0.2">
      <c r="A83" s="2" t="s">
        <v>111</v>
      </c>
      <c r="B83" s="20">
        <v>1</v>
      </c>
      <c r="C83" s="2" t="s">
        <v>112</v>
      </c>
      <c r="D83" t="s">
        <v>88</v>
      </c>
      <c r="E83" t="s">
        <v>376</v>
      </c>
      <c r="F83" t="b">
        <v>1</v>
      </c>
      <c r="G83" t="b">
        <v>1</v>
      </c>
      <c r="H83" s="14" t="b">
        <v>1</v>
      </c>
      <c r="I83" s="14" t="b">
        <v>0</v>
      </c>
      <c r="J83">
        <v>4</v>
      </c>
      <c r="K83">
        <v>5</v>
      </c>
    </row>
    <row r="84" spans="1:32" x14ac:dyDescent="0.2">
      <c r="A84" s="2" t="s">
        <v>111</v>
      </c>
      <c r="B84" s="20">
        <v>2</v>
      </c>
      <c r="C84" s="2" t="s">
        <v>112</v>
      </c>
      <c r="D84" t="s">
        <v>88</v>
      </c>
      <c r="E84" t="s">
        <v>377</v>
      </c>
      <c r="F84" t="b">
        <v>1</v>
      </c>
      <c r="G84" t="b">
        <v>1</v>
      </c>
      <c r="H84" t="b">
        <v>0</v>
      </c>
      <c r="I84" t="b">
        <v>0</v>
      </c>
      <c r="J84">
        <v>6</v>
      </c>
      <c r="K84">
        <v>7</v>
      </c>
    </row>
    <row r="85" spans="1:32" x14ac:dyDescent="0.2">
      <c r="A85" s="2" t="s">
        <v>111</v>
      </c>
      <c r="B85" s="20">
        <v>3</v>
      </c>
      <c r="C85" s="2" t="s">
        <v>112</v>
      </c>
      <c r="D85" t="s">
        <v>88</v>
      </c>
      <c r="E85" t="s">
        <v>378</v>
      </c>
      <c r="F85" t="b">
        <v>1</v>
      </c>
      <c r="G85" t="b">
        <v>1</v>
      </c>
      <c r="H85" t="b">
        <v>1</v>
      </c>
      <c r="I85" t="b">
        <v>0</v>
      </c>
      <c r="J85">
        <v>8</v>
      </c>
      <c r="K85">
        <v>9</v>
      </c>
    </row>
    <row r="86" spans="1:32" s="4" customFormat="1" x14ac:dyDescent="0.2">
      <c r="A86" s="3" t="s">
        <v>111</v>
      </c>
      <c r="B86" s="21">
        <v>4</v>
      </c>
      <c r="C86" s="3" t="s">
        <v>112</v>
      </c>
      <c r="D86" s="4" t="s">
        <v>88</v>
      </c>
      <c r="E86" s="4" t="s">
        <v>379</v>
      </c>
      <c r="F86" s="4" t="b">
        <v>1</v>
      </c>
      <c r="G86" s="4" t="b">
        <v>1</v>
      </c>
      <c r="H86" s="4" t="b">
        <v>0</v>
      </c>
      <c r="I86" s="4" t="b">
        <v>0</v>
      </c>
      <c r="J86" s="4">
        <v>10</v>
      </c>
      <c r="K86" s="4">
        <v>11</v>
      </c>
      <c r="L86" s="71"/>
      <c r="M86" s="9"/>
      <c r="N86" s="9"/>
      <c r="O86" s="9"/>
      <c r="P86" s="9"/>
      <c r="Q86" s="9"/>
      <c r="R86" s="9"/>
      <c r="S86" s="42"/>
      <c r="T86" s="9"/>
      <c r="U86" s="9"/>
      <c r="V86" s="9"/>
      <c r="W86" s="9"/>
      <c r="X86" s="9"/>
      <c r="Y86" s="9"/>
      <c r="Z86" s="17"/>
      <c r="AC86" s="9"/>
      <c r="AD86" s="9"/>
      <c r="AE86" s="9"/>
      <c r="AF86" s="9"/>
    </row>
    <row r="87" spans="1:32" s="4" customFormat="1" x14ac:dyDescent="0.2">
      <c r="A87" s="3" t="s">
        <v>113</v>
      </c>
      <c r="B87" s="21">
        <v>1</v>
      </c>
      <c r="C87" s="3" t="s">
        <v>114</v>
      </c>
      <c r="D87" s="4" t="s">
        <v>88</v>
      </c>
      <c r="E87" s="4" t="s">
        <v>374</v>
      </c>
      <c r="F87" s="4" t="b">
        <v>1</v>
      </c>
      <c r="G87" s="4" t="b">
        <v>1</v>
      </c>
      <c r="H87" s="11" t="b">
        <v>1</v>
      </c>
      <c r="I87" s="11" t="b">
        <v>0</v>
      </c>
      <c r="J87" s="4">
        <v>0</v>
      </c>
      <c r="K87" s="4">
        <v>1</v>
      </c>
      <c r="L87" s="71"/>
      <c r="M87" s="9"/>
      <c r="N87" s="9"/>
      <c r="O87" s="9"/>
      <c r="P87" s="9"/>
      <c r="Q87" s="9"/>
      <c r="R87" s="9"/>
      <c r="S87" s="42"/>
      <c r="T87" s="9"/>
      <c r="U87" s="9"/>
      <c r="V87" s="9"/>
      <c r="W87" s="9"/>
      <c r="X87" s="9"/>
      <c r="Y87" s="9"/>
      <c r="Z87" s="17"/>
      <c r="AC87" s="9"/>
      <c r="AD87" s="9"/>
      <c r="AE87" s="9"/>
      <c r="AF87" s="9"/>
    </row>
    <row r="88" spans="1:32" s="4" customFormat="1" x14ac:dyDescent="0.2">
      <c r="A88" s="3" t="s">
        <v>115</v>
      </c>
      <c r="B88" s="21">
        <v>1</v>
      </c>
      <c r="C88" s="3" t="s">
        <v>116</v>
      </c>
      <c r="D88" s="4" t="s">
        <v>88</v>
      </c>
      <c r="E88" s="4" t="s">
        <v>375</v>
      </c>
      <c r="F88" s="4" t="b">
        <v>1</v>
      </c>
      <c r="G88" s="4" t="b">
        <v>1</v>
      </c>
      <c r="H88" s="11" t="b">
        <v>1</v>
      </c>
      <c r="I88" s="11" t="b">
        <v>0</v>
      </c>
      <c r="J88" s="4">
        <v>2</v>
      </c>
      <c r="K88" s="4">
        <v>3</v>
      </c>
      <c r="L88" s="71"/>
      <c r="M88" s="9"/>
      <c r="N88" s="9"/>
      <c r="O88" s="9"/>
      <c r="P88" s="9"/>
      <c r="Q88" s="9"/>
      <c r="R88" s="9"/>
      <c r="S88" s="42"/>
      <c r="T88" s="9"/>
      <c r="U88" s="9"/>
      <c r="V88" s="9"/>
      <c r="W88" s="9"/>
      <c r="X88" s="9"/>
      <c r="Y88" s="9"/>
      <c r="Z88" s="17"/>
      <c r="AC88" s="9"/>
      <c r="AD88" s="9"/>
      <c r="AE88" s="9"/>
      <c r="AF88" s="9"/>
    </row>
    <row r="89" spans="1:32" x14ac:dyDescent="0.2">
      <c r="A89" s="2" t="s">
        <v>117</v>
      </c>
      <c r="B89" s="20">
        <v>1</v>
      </c>
      <c r="C89" s="2" t="s">
        <v>118</v>
      </c>
      <c r="D89" t="s">
        <v>88</v>
      </c>
      <c r="E89" t="s">
        <v>380</v>
      </c>
      <c r="F89" t="b">
        <v>1</v>
      </c>
      <c r="G89" t="b">
        <v>1</v>
      </c>
      <c r="H89" t="b">
        <v>0</v>
      </c>
      <c r="I89" t="b">
        <v>1</v>
      </c>
      <c r="J89">
        <v>44</v>
      </c>
      <c r="K89">
        <v>45</v>
      </c>
    </row>
    <row r="90" spans="1:32" s="4" customFormat="1" x14ac:dyDescent="0.2">
      <c r="A90" s="3" t="s">
        <v>117</v>
      </c>
      <c r="B90" s="21">
        <v>2</v>
      </c>
      <c r="C90" s="3" t="s">
        <v>118</v>
      </c>
      <c r="D90" s="4" t="s">
        <v>88</v>
      </c>
      <c r="E90" s="4" t="s">
        <v>381</v>
      </c>
      <c r="F90" s="4" t="b">
        <v>1</v>
      </c>
      <c r="G90" s="4" t="b">
        <v>1</v>
      </c>
      <c r="H90" s="4" t="b">
        <v>1</v>
      </c>
      <c r="I90" s="4" t="b">
        <v>0</v>
      </c>
      <c r="J90" s="4">
        <v>46</v>
      </c>
      <c r="K90" s="4">
        <v>47</v>
      </c>
      <c r="L90" s="71"/>
      <c r="M90" s="9"/>
      <c r="N90" s="9"/>
      <c r="O90" s="9"/>
      <c r="P90" s="9"/>
      <c r="Q90" s="9"/>
      <c r="R90" s="9"/>
      <c r="S90" s="42"/>
      <c r="T90" s="9"/>
      <c r="U90" s="9"/>
      <c r="V90" s="9"/>
      <c r="W90" s="9"/>
      <c r="X90" s="9"/>
      <c r="Y90" s="9"/>
      <c r="Z90" s="17"/>
      <c r="AC90" s="9"/>
      <c r="AD90" s="9"/>
      <c r="AE90" s="9"/>
      <c r="AF90" s="9"/>
    </row>
    <row r="91" spans="1:32" s="61" customFormat="1" ht="17" thickBot="1" x14ac:dyDescent="0.25">
      <c r="A91" s="59" t="s">
        <v>119</v>
      </c>
      <c r="B91" s="60">
        <v>1</v>
      </c>
      <c r="C91" s="59" t="s">
        <v>120</v>
      </c>
      <c r="D91" s="61" t="s">
        <v>88</v>
      </c>
      <c r="E91" s="61" t="s">
        <v>363</v>
      </c>
      <c r="F91" s="61" t="b">
        <v>1</v>
      </c>
      <c r="G91" s="61" t="b">
        <v>1</v>
      </c>
      <c r="H91" s="61" t="b">
        <v>1</v>
      </c>
      <c r="I91" s="61" t="b">
        <v>0</v>
      </c>
      <c r="J91" s="61">
        <v>20</v>
      </c>
      <c r="K91" s="61">
        <v>21</v>
      </c>
      <c r="L91" s="81" t="b">
        <v>1</v>
      </c>
      <c r="M91" s="61" t="b">
        <v>1</v>
      </c>
      <c r="N91" s="61" t="b">
        <v>1</v>
      </c>
      <c r="O91" s="63" t="s">
        <v>486</v>
      </c>
      <c r="P91" s="63" t="s">
        <v>486</v>
      </c>
      <c r="Q91" s="63" t="s">
        <v>486</v>
      </c>
      <c r="R91" s="63" t="s">
        <v>486</v>
      </c>
      <c r="S91" s="64" t="b">
        <v>1</v>
      </c>
      <c r="T91" s="61" t="b">
        <v>1</v>
      </c>
      <c r="U91" s="61" t="b">
        <v>1</v>
      </c>
      <c r="V91" s="63" t="s">
        <v>486</v>
      </c>
      <c r="W91" s="63" t="s">
        <v>486</v>
      </c>
      <c r="X91" s="63" t="s">
        <v>486</v>
      </c>
      <c r="Y91" s="63" t="s">
        <v>486</v>
      </c>
      <c r="Z91" s="64" t="b">
        <v>1</v>
      </c>
      <c r="AA91" s="61" t="b">
        <v>1</v>
      </c>
      <c r="AB91" s="61" t="b">
        <v>1</v>
      </c>
      <c r="AC91" s="63" t="s">
        <v>486</v>
      </c>
      <c r="AD91" s="63" t="s">
        <v>486</v>
      </c>
      <c r="AE91" s="63" t="s">
        <v>486</v>
      </c>
      <c r="AF91" s="63" t="s">
        <v>486</v>
      </c>
    </row>
    <row r="92" spans="1:32" s="4" customFormat="1" x14ac:dyDescent="0.2">
      <c r="A92" s="3" t="s">
        <v>121</v>
      </c>
      <c r="B92" s="21">
        <v>1</v>
      </c>
      <c r="C92" s="3" t="s">
        <v>122</v>
      </c>
      <c r="D92" s="4" t="s">
        <v>123</v>
      </c>
      <c r="E92" s="4" t="s">
        <v>465</v>
      </c>
      <c r="F92" s="4" t="b">
        <v>1</v>
      </c>
      <c r="G92" s="4" t="b">
        <v>1</v>
      </c>
      <c r="H92" s="4" t="b">
        <v>0</v>
      </c>
      <c r="I92" s="4" t="b">
        <v>0</v>
      </c>
      <c r="J92" s="4">
        <v>2</v>
      </c>
      <c r="K92" s="4">
        <v>3</v>
      </c>
      <c r="L92" s="71" t="b">
        <v>1</v>
      </c>
      <c r="M92" s="9" t="b">
        <v>0</v>
      </c>
      <c r="N92" s="9" t="b">
        <v>0</v>
      </c>
      <c r="O92" s="9" t="s">
        <v>486</v>
      </c>
      <c r="P92" s="9" t="s">
        <v>486</v>
      </c>
      <c r="Q92" s="9" t="s">
        <v>486</v>
      </c>
      <c r="R92" s="9" t="s">
        <v>486</v>
      </c>
      <c r="S92" s="42"/>
      <c r="T92" s="9"/>
      <c r="U92" s="9"/>
      <c r="V92" s="9"/>
      <c r="W92" s="9"/>
      <c r="X92" s="9"/>
      <c r="Y92" s="9"/>
      <c r="Z92" s="17"/>
      <c r="AC92" s="9"/>
      <c r="AD92" s="9"/>
      <c r="AE92" s="9"/>
      <c r="AF92" s="9"/>
    </row>
    <row r="93" spans="1:32" s="4" customFormat="1" x14ac:dyDescent="0.2">
      <c r="A93" s="3" t="s">
        <v>124</v>
      </c>
      <c r="B93" s="21">
        <v>1</v>
      </c>
      <c r="C93" s="3" t="s">
        <v>125</v>
      </c>
      <c r="D93" s="4" t="s">
        <v>123</v>
      </c>
      <c r="E93" s="4" t="s">
        <v>472</v>
      </c>
      <c r="F93" s="4" t="b">
        <v>1</v>
      </c>
      <c r="G93" s="4" t="b">
        <v>1</v>
      </c>
      <c r="H93" s="11" t="b">
        <v>1</v>
      </c>
      <c r="I93" s="11" t="b">
        <v>0</v>
      </c>
      <c r="J93" s="4">
        <v>4</v>
      </c>
      <c r="K93" s="4">
        <v>5</v>
      </c>
      <c r="L93" s="71" t="b">
        <v>1</v>
      </c>
      <c r="M93" s="9" t="b">
        <v>1</v>
      </c>
      <c r="N93" s="9" t="b">
        <v>1</v>
      </c>
      <c r="O93" s="9" t="s">
        <v>485</v>
      </c>
      <c r="P93" s="9" t="s">
        <v>485</v>
      </c>
      <c r="Q93" s="9" t="s">
        <v>485</v>
      </c>
      <c r="R93" s="9" t="s">
        <v>486</v>
      </c>
      <c r="S93" s="42"/>
      <c r="T93" s="9"/>
      <c r="U93" s="9"/>
      <c r="V93" s="9"/>
      <c r="W93" s="9"/>
      <c r="X93" s="9"/>
      <c r="Y93" s="9"/>
      <c r="Z93" s="17"/>
      <c r="AC93" s="9"/>
      <c r="AD93" s="9"/>
      <c r="AE93" s="9"/>
      <c r="AF93" s="9"/>
    </row>
    <row r="94" spans="1:32" s="4" customFormat="1" x14ac:dyDescent="0.2">
      <c r="A94" s="3" t="s">
        <v>126</v>
      </c>
      <c r="B94" s="21">
        <v>1</v>
      </c>
      <c r="C94" s="3" t="s">
        <v>127</v>
      </c>
      <c r="D94" s="4" t="s">
        <v>123</v>
      </c>
      <c r="E94" s="4" t="s">
        <v>466</v>
      </c>
      <c r="F94" s="4" t="b">
        <v>1</v>
      </c>
      <c r="G94" s="4" t="b">
        <v>1</v>
      </c>
      <c r="H94" s="4" t="b">
        <v>1</v>
      </c>
      <c r="I94" s="4" t="b">
        <v>0</v>
      </c>
      <c r="J94" s="4">
        <v>18</v>
      </c>
      <c r="K94" s="4">
        <v>19</v>
      </c>
      <c r="L94" s="71" t="s">
        <v>480</v>
      </c>
      <c r="M94" s="9" t="b">
        <v>1</v>
      </c>
      <c r="N94" s="9"/>
      <c r="O94" s="9"/>
      <c r="P94" s="9"/>
      <c r="Q94" s="9"/>
      <c r="R94" s="9"/>
      <c r="S94" s="42" t="s">
        <v>480</v>
      </c>
      <c r="T94" s="9" t="b">
        <v>0</v>
      </c>
      <c r="U94" s="9"/>
      <c r="V94" s="9"/>
      <c r="W94" s="9"/>
      <c r="X94" s="9"/>
      <c r="Y94" s="9"/>
      <c r="Z94" s="17"/>
      <c r="AC94" s="9"/>
      <c r="AD94" s="9"/>
      <c r="AE94" s="9"/>
      <c r="AF94" s="9"/>
    </row>
    <row r="95" spans="1:32" x14ac:dyDescent="0.2">
      <c r="A95" s="2" t="s">
        <v>128</v>
      </c>
      <c r="B95" s="24">
        <v>1</v>
      </c>
      <c r="C95" s="2" t="s">
        <v>129</v>
      </c>
      <c r="D95" t="s">
        <v>123</v>
      </c>
      <c r="E95" t="s">
        <v>471</v>
      </c>
      <c r="F95" t="b">
        <v>1</v>
      </c>
      <c r="G95" t="b">
        <v>1</v>
      </c>
      <c r="H95" t="b">
        <v>0</v>
      </c>
      <c r="I95" t="b">
        <v>1</v>
      </c>
      <c r="J95">
        <v>0</v>
      </c>
      <c r="K95">
        <v>1</v>
      </c>
      <c r="L95" s="70" t="b">
        <v>1</v>
      </c>
      <c r="M95" s="8" t="b">
        <v>1</v>
      </c>
      <c r="N95" s="8" t="b">
        <v>1</v>
      </c>
      <c r="O95" s="8" t="s">
        <v>486</v>
      </c>
      <c r="P95" s="8" t="s">
        <v>486</v>
      </c>
      <c r="Q95" s="8" t="s">
        <v>486</v>
      </c>
      <c r="R95" s="8" t="s">
        <v>486</v>
      </c>
      <c r="S95" s="43" t="b">
        <v>1</v>
      </c>
      <c r="T95" s="87" t="b">
        <v>0</v>
      </c>
      <c r="U95" s="87" t="b">
        <v>0</v>
      </c>
      <c r="V95" s="8" t="s">
        <v>486</v>
      </c>
      <c r="W95" s="8" t="s">
        <v>486</v>
      </c>
      <c r="X95" s="8" t="s">
        <v>486</v>
      </c>
      <c r="Y95" s="8" t="s">
        <v>486</v>
      </c>
    </row>
    <row r="96" spans="1:32" x14ac:dyDescent="0.2">
      <c r="A96" s="2" t="s">
        <v>128</v>
      </c>
      <c r="B96" s="24">
        <v>2</v>
      </c>
      <c r="C96" s="2" t="s">
        <v>129</v>
      </c>
      <c r="D96" t="s">
        <v>123</v>
      </c>
      <c r="E96" t="s">
        <v>473</v>
      </c>
      <c r="F96" t="b">
        <v>1</v>
      </c>
      <c r="G96" t="b">
        <v>1</v>
      </c>
      <c r="H96" t="b">
        <v>1</v>
      </c>
      <c r="I96" t="b">
        <v>0</v>
      </c>
      <c r="J96">
        <v>6</v>
      </c>
      <c r="K96">
        <v>7</v>
      </c>
      <c r="L96" s="70" t="b">
        <v>1</v>
      </c>
      <c r="M96" s="8" t="b">
        <v>1</v>
      </c>
      <c r="N96" s="8" t="b">
        <v>1</v>
      </c>
      <c r="O96" s="8" t="s">
        <v>486</v>
      </c>
      <c r="P96" s="8" t="s">
        <v>486</v>
      </c>
      <c r="Q96" s="8" t="s">
        <v>486</v>
      </c>
      <c r="R96" s="8" t="s">
        <v>487</v>
      </c>
      <c r="S96" s="43" t="b">
        <v>1</v>
      </c>
      <c r="T96" s="87" t="b">
        <v>1</v>
      </c>
      <c r="U96" s="87" t="b">
        <v>1</v>
      </c>
      <c r="V96" s="8" t="s">
        <v>486</v>
      </c>
      <c r="W96" s="8" t="s">
        <v>485</v>
      </c>
      <c r="X96" s="8" t="s">
        <v>485</v>
      </c>
      <c r="Y96" s="8" t="s">
        <v>486</v>
      </c>
    </row>
    <row r="97" spans="1:32" x14ac:dyDescent="0.2">
      <c r="A97" s="2" t="s">
        <v>128</v>
      </c>
      <c r="B97" s="24">
        <v>3</v>
      </c>
      <c r="C97" s="2" t="s">
        <v>129</v>
      </c>
      <c r="D97" t="s">
        <v>123</v>
      </c>
      <c r="E97" t="s">
        <v>474</v>
      </c>
      <c r="F97" t="b">
        <v>1</v>
      </c>
      <c r="G97" t="b">
        <v>1</v>
      </c>
      <c r="H97" t="b">
        <v>0</v>
      </c>
      <c r="I97" t="b">
        <v>0</v>
      </c>
      <c r="J97">
        <v>8</v>
      </c>
      <c r="K97">
        <v>9</v>
      </c>
      <c r="L97" s="70" t="b">
        <v>1</v>
      </c>
      <c r="M97" s="8" t="b">
        <v>1</v>
      </c>
      <c r="N97" s="8" t="b">
        <v>1</v>
      </c>
      <c r="O97" s="8" t="s">
        <v>485</v>
      </c>
      <c r="P97" s="8" t="s">
        <v>485</v>
      </c>
      <c r="Q97" s="8" t="s">
        <v>485</v>
      </c>
      <c r="R97" s="8" t="s">
        <v>485</v>
      </c>
    </row>
    <row r="98" spans="1:32" x14ac:dyDescent="0.2">
      <c r="A98" s="2" t="s">
        <v>128</v>
      </c>
      <c r="B98" s="24">
        <v>4</v>
      </c>
      <c r="C98" s="2" t="s">
        <v>129</v>
      </c>
      <c r="D98" t="s">
        <v>123</v>
      </c>
      <c r="E98" t="s">
        <v>475</v>
      </c>
      <c r="F98" t="b">
        <v>1</v>
      </c>
      <c r="G98" t="b">
        <v>1</v>
      </c>
      <c r="H98" t="b">
        <v>0</v>
      </c>
      <c r="I98" t="b">
        <v>0</v>
      </c>
      <c r="J98">
        <v>10</v>
      </c>
      <c r="K98">
        <v>11</v>
      </c>
      <c r="L98" s="70" t="b">
        <v>1</v>
      </c>
      <c r="M98" s="8" t="b">
        <v>1</v>
      </c>
      <c r="N98" s="8" t="b">
        <v>1</v>
      </c>
      <c r="O98" s="8" t="s">
        <v>485</v>
      </c>
      <c r="P98" s="8" t="s">
        <v>485</v>
      </c>
      <c r="Q98" s="8" t="s">
        <v>485</v>
      </c>
      <c r="R98" s="8" t="s">
        <v>485</v>
      </c>
    </row>
    <row r="99" spans="1:32" x14ac:dyDescent="0.2">
      <c r="A99" s="2" t="s">
        <v>128</v>
      </c>
      <c r="B99" s="24">
        <v>5</v>
      </c>
      <c r="C99" s="2" t="s">
        <v>129</v>
      </c>
      <c r="D99" t="s">
        <v>123</v>
      </c>
      <c r="E99" t="s">
        <v>476</v>
      </c>
      <c r="F99" t="b">
        <v>1</v>
      </c>
      <c r="G99" t="b">
        <v>1</v>
      </c>
      <c r="H99" t="b">
        <v>0</v>
      </c>
      <c r="I99" t="b">
        <v>0</v>
      </c>
      <c r="J99">
        <v>12</v>
      </c>
      <c r="K99">
        <v>13</v>
      </c>
      <c r="L99" s="70" t="b">
        <v>1</v>
      </c>
      <c r="M99" s="8" t="b">
        <v>1</v>
      </c>
      <c r="N99" s="8" t="b">
        <v>1</v>
      </c>
      <c r="O99" s="8" t="s">
        <v>486</v>
      </c>
      <c r="P99" s="8" t="s">
        <v>486</v>
      </c>
      <c r="Q99" s="8" t="s">
        <v>486</v>
      </c>
      <c r="R99" s="8" t="s">
        <v>486</v>
      </c>
    </row>
    <row r="100" spans="1:32" x14ac:dyDescent="0.2">
      <c r="A100" s="2" t="s">
        <v>128</v>
      </c>
      <c r="B100" s="24">
        <v>6</v>
      </c>
      <c r="C100" s="2" t="s">
        <v>129</v>
      </c>
      <c r="D100" t="s">
        <v>123</v>
      </c>
      <c r="E100" t="s">
        <v>469</v>
      </c>
      <c r="F100" t="b">
        <v>1</v>
      </c>
      <c r="G100" t="b">
        <v>1</v>
      </c>
      <c r="H100" t="b">
        <v>0</v>
      </c>
      <c r="I100" t="b">
        <v>0</v>
      </c>
      <c r="J100">
        <v>14</v>
      </c>
      <c r="K100">
        <v>15</v>
      </c>
      <c r="L100" s="70" t="b">
        <v>1</v>
      </c>
      <c r="M100" s="8" t="b">
        <v>0</v>
      </c>
      <c r="N100" s="8" t="b">
        <v>0</v>
      </c>
      <c r="O100" s="8" t="s">
        <v>486</v>
      </c>
      <c r="P100" s="8" t="s">
        <v>486</v>
      </c>
      <c r="Q100" s="8" t="s">
        <v>486</v>
      </c>
      <c r="R100" s="8" t="s">
        <v>486</v>
      </c>
    </row>
    <row r="101" spans="1:32" x14ac:dyDescent="0.2">
      <c r="A101" s="2" t="s">
        <v>128</v>
      </c>
      <c r="B101" s="24">
        <v>7</v>
      </c>
      <c r="C101" s="2" t="s">
        <v>129</v>
      </c>
      <c r="D101" t="s">
        <v>123</v>
      </c>
      <c r="E101" t="s">
        <v>470</v>
      </c>
      <c r="F101" t="b">
        <v>1</v>
      </c>
      <c r="G101" t="b">
        <v>1</v>
      </c>
      <c r="H101" t="b">
        <v>0</v>
      </c>
      <c r="I101" t="b">
        <v>0</v>
      </c>
      <c r="J101">
        <v>16</v>
      </c>
      <c r="K101">
        <v>17</v>
      </c>
      <c r="L101" s="70" t="b">
        <v>1</v>
      </c>
      <c r="M101" s="8" t="b">
        <v>0</v>
      </c>
      <c r="N101" s="8" t="b">
        <v>1</v>
      </c>
      <c r="O101" s="8" t="s">
        <v>482</v>
      </c>
      <c r="P101" s="8" t="s">
        <v>482</v>
      </c>
      <c r="Q101" s="8" t="s">
        <v>482</v>
      </c>
      <c r="R101" s="8" t="s">
        <v>482</v>
      </c>
    </row>
    <row r="102" spans="1:32" x14ac:dyDescent="0.2">
      <c r="A102" s="2" t="s">
        <v>128</v>
      </c>
      <c r="B102" s="24">
        <v>8</v>
      </c>
      <c r="C102" s="2" t="s">
        <v>129</v>
      </c>
      <c r="D102" t="s">
        <v>123</v>
      </c>
      <c r="E102" t="s">
        <v>468</v>
      </c>
      <c r="F102" t="b">
        <v>1</v>
      </c>
      <c r="G102" t="b">
        <v>1</v>
      </c>
      <c r="H102" t="b">
        <v>1</v>
      </c>
      <c r="I102" t="b">
        <v>0</v>
      </c>
      <c r="J102">
        <v>20</v>
      </c>
      <c r="K102">
        <v>21</v>
      </c>
      <c r="L102" s="82" t="b">
        <v>1</v>
      </c>
      <c r="M102" s="87" t="b">
        <v>1</v>
      </c>
      <c r="N102" s="87" t="b">
        <v>1</v>
      </c>
      <c r="O102" s="8" t="s">
        <v>486</v>
      </c>
      <c r="P102" s="8" t="s">
        <v>486</v>
      </c>
      <c r="Q102" s="8" t="s">
        <v>486</v>
      </c>
      <c r="R102" s="8" t="s">
        <v>486</v>
      </c>
      <c r="S102" s="43" t="b">
        <v>1</v>
      </c>
      <c r="T102" s="87" t="b">
        <v>1</v>
      </c>
      <c r="U102" s="87" t="b">
        <v>0</v>
      </c>
      <c r="V102" s="8" t="s">
        <v>487</v>
      </c>
      <c r="W102" s="8" t="s">
        <v>487</v>
      </c>
      <c r="X102" s="8" t="s">
        <v>487</v>
      </c>
      <c r="Y102" s="8" t="s">
        <v>487</v>
      </c>
      <c r="AF102" s="31"/>
    </row>
    <row r="103" spans="1:32" s="55" customFormat="1" ht="17" thickBot="1" x14ac:dyDescent="0.25">
      <c r="A103" s="53" t="s">
        <v>128</v>
      </c>
      <c r="B103" s="54">
        <v>9</v>
      </c>
      <c r="C103" s="53" t="s">
        <v>129</v>
      </c>
      <c r="D103" s="55" t="s">
        <v>123</v>
      </c>
      <c r="E103" s="55" t="s">
        <v>467</v>
      </c>
      <c r="F103" s="55" t="b">
        <v>1</v>
      </c>
      <c r="G103" s="55" t="b">
        <v>1</v>
      </c>
      <c r="H103" s="55" t="b">
        <v>0</v>
      </c>
      <c r="I103" s="55" t="b">
        <v>0</v>
      </c>
      <c r="J103" s="55">
        <v>22</v>
      </c>
      <c r="K103" s="55">
        <v>23</v>
      </c>
      <c r="L103" s="83" t="b">
        <v>1</v>
      </c>
      <c r="M103" s="88" t="b">
        <v>0</v>
      </c>
      <c r="N103" s="88" t="b">
        <v>0</v>
      </c>
      <c r="O103" s="57" t="s">
        <v>486</v>
      </c>
      <c r="P103" s="57" t="s">
        <v>486</v>
      </c>
      <c r="Q103" s="57" t="s">
        <v>486</v>
      </c>
      <c r="R103" s="57" t="s">
        <v>486</v>
      </c>
      <c r="S103" s="65" t="b">
        <v>1</v>
      </c>
      <c r="T103" s="88" t="b">
        <v>0</v>
      </c>
      <c r="U103" s="88" t="b">
        <v>0</v>
      </c>
      <c r="V103" s="57" t="s">
        <v>486</v>
      </c>
      <c r="W103" s="57" t="s">
        <v>486</v>
      </c>
      <c r="X103" s="57" t="s">
        <v>486</v>
      </c>
      <c r="Y103" s="57" t="s">
        <v>486</v>
      </c>
      <c r="Z103" s="58"/>
      <c r="AC103" s="57"/>
      <c r="AD103" s="57"/>
      <c r="AE103" s="57"/>
      <c r="AF103" s="66"/>
    </row>
    <row r="104" spans="1:32" s="4" customFormat="1" x14ac:dyDescent="0.2">
      <c r="A104" s="3" t="s">
        <v>130</v>
      </c>
      <c r="B104" s="21">
        <v>1</v>
      </c>
      <c r="C104" s="3" t="s">
        <v>131</v>
      </c>
      <c r="D104" s="4" t="s">
        <v>132</v>
      </c>
      <c r="E104" s="4" t="s">
        <v>382</v>
      </c>
      <c r="F104" s="4" t="b">
        <v>1</v>
      </c>
      <c r="G104" s="4" t="b">
        <v>1</v>
      </c>
      <c r="H104" s="4" t="b">
        <v>0</v>
      </c>
      <c r="I104" s="4" t="b">
        <v>0</v>
      </c>
      <c r="J104" s="4">
        <v>2</v>
      </c>
      <c r="K104" s="4">
        <v>3</v>
      </c>
      <c r="L104" s="71" t="b">
        <v>1</v>
      </c>
      <c r="M104" s="9" t="b">
        <v>0</v>
      </c>
      <c r="N104" s="9" t="b">
        <v>1</v>
      </c>
      <c r="O104" s="9"/>
      <c r="P104" s="9"/>
      <c r="Q104" s="9"/>
      <c r="R104" s="9"/>
      <c r="S104" s="42" t="b">
        <v>1</v>
      </c>
      <c r="T104" s="9" t="b">
        <v>0</v>
      </c>
      <c r="U104" s="9" t="b">
        <v>1</v>
      </c>
      <c r="V104" s="9"/>
      <c r="W104" s="9"/>
      <c r="X104" s="9"/>
      <c r="Y104" s="9"/>
      <c r="Z104" s="17"/>
      <c r="AC104" s="9"/>
      <c r="AD104" s="9"/>
      <c r="AE104" s="9"/>
      <c r="AF104" s="33"/>
    </row>
    <row r="105" spans="1:32" s="4" customFormat="1" x14ac:dyDescent="0.2">
      <c r="A105" s="3" t="s">
        <v>133</v>
      </c>
      <c r="B105" s="21">
        <v>1</v>
      </c>
      <c r="C105" s="3" t="s">
        <v>134</v>
      </c>
      <c r="D105" s="4" t="s">
        <v>132</v>
      </c>
      <c r="E105" s="4" t="s">
        <v>383</v>
      </c>
      <c r="F105" s="4" t="b">
        <v>1</v>
      </c>
      <c r="G105" s="4" t="b">
        <v>1</v>
      </c>
      <c r="H105" s="4" t="b">
        <v>1</v>
      </c>
      <c r="I105" s="4" t="b">
        <v>0</v>
      </c>
      <c r="J105" s="4">
        <v>44</v>
      </c>
      <c r="K105" s="4">
        <v>45</v>
      </c>
      <c r="L105" s="71"/>
      <c r="M105" s="9"/>
      <c r="N105" s="9"/>
      <c r="O105" s="9"/>
      <c r="P105" s="9"/>
      <c r="Q105" s="9"/>
      <c r="R105" s="9"/>
      <c r="S105" s="42"/>
      <c r="T105" s="9"/>
      <c r="U105" s="9"/>
      <c r="V105" s="9"/>
      <c r="W105" s="9"/>
      <c r="X105" s="9"/>
      <c r="Y105" s="9"/>
      <c r="Z105" s="17"/>
      <c r="AC105" s="9"/>
      <c r="AD105" s="9"/>
      <c r="AE105" s="9"/>
      <c r="AF105" s="33"/>
    </row>
    <row r="106" spans="1:32" s="4" customFormat="1" x14ac:dyDescent="0.2">
      <c r="A106" s="3" t="s">
        <v>135</v>
      </c>
      <c r="B106" s="21">
        <v>1</v>
      </c>
      <c r="C106" s="3" t="s">
        <v>136</v>
      </c>
      <c r="D106" s="4" t="s">
        <v>132</v>
      </c>
      <c r="E106" s="4" t="s">
        <v>384</v>
      </c>
      <c r="F106" s="4" t="b">
        <v>1</v>
      </c>
      <c r="G106" s="4" t="b">
        <v>1</v>
      </c>
      <c r="H106" s="4" t="b">
        <v>0</v>
      </c>
      <c r="I106" s="4" t="b">
        <v>0</v>
      </c>
      <c r="J106" s="4">
        <v>0</v>
      </c>
      <c r="K106" s="4">
        <v>1</v>
      </c>
      <c r="L106" s="71" t="b">
        <v>1</v>
      </c>
      <c r="M106" s="9" t="b">
        <v>1</v>
      </c>
      <c r="N106" s="9" t="b">
        <v>1</v>
      </c>
      <c r="O106" s="9"/>
      <c r="P106" s="9"/>
      <c r="Q106" s="9"/>
      <c r="R106" s="9"/>
      <c r="S106" s="42" t="b">
        <v>1</v>
      </c>
      <c r="T106" s="9" t="b">
        <v>1</v>
      </c>
      <c r="U106" s="9" t="b">
        <v>1</v>
      </c>
      <c r="V106" s="9"/>
      <c r="W106" s="9"/>
      <c r="X106" s="9"/>
      <c r="Y106" s="9"/>
      <c r="Z106" s="17" t="b">
        <v>1</v>
      </c>
      <c r="AA106" s="4" t="b">
        <v>1</v>
      </c>
      <c r="AB106" s="4" t="b">
        <v>1</v>
      </c>
      <c r="AC106" s="9"/>
      <c r="AD106" s="9"/>
      <c r="AE106" s="9"/>
      <c r="AF106" s="33"/>
    </row>
    <row r="107" spans="1:32" s="4" customFormat="1" x14ac:dyDescent="0.2">
      <c r="A107" s="3" t="s">
        <v>137</v>
      </c>
      <c r="B107" s="21">
        <v>1</v>
      </c>
      <c r="C107" s="3" t="s">
        <v>138</v>
      </c>
      <c r="D107" s="4" t="s">
        <v>132</v>
      </c>
      <c r="E107" s="4" t="s">
        <v>385</v>
      </c>
      <c r="F107" s="4" t="b">
        <v>1</v>
      </c>
      <c r="G107" s="4" t="b">
        <v>1</v>
      </c>
      <c r="H107" s="4" t="b">
        <v>0</v>
      </c>
      <c r="I107" s="4" t="b">
        <v>0</v>
      </c>
      <c r="J107" s="4">
        <v>32</v>
      </c>
      <c r="K107" s="4">
        <v>33</v>
      </c>
      <c r="L107" s="71" t="s">
        <v>480</v>
      </c>
      <c r="M107" s="9"/>
      <c r="N107" s="9" t="b">
        <v>0</v>
      </c>
      <c r="O107" s="9"/>
      <c r="P107" s="9"/>
      <c r="Q107" s="9"/>
      <c r="R107" s="9"/>
      <c r="S107" s="42" t="s">
        <v>480</v>
      </c>
      <c r="T107" s="9"/>
      <c r="U107" s="9" t="b">
        <v>0</v>
      </c>
      <c r="V107" s="9"/>
      <c r="W107" s="9"/>
      <c r="X107" s="9"/>
      <c r="Y107" s="9"/>
      <c r="Z107" s="17"/>
      <c r="AC107" s="9"/>
      <c r="AD107" s="9"/>
      <c r="AE107" s="9"/>
      <c r="AF107" s="33"/>
    </row>
    <row r="108" spans="1:32" s="4" customFormat="1" x14ac:dyDescent="0.2">
      <c r="A108" s="3" t="s">
        <v>139</v>
      </c>
      <c r="B108" s="21">
        <v>1</v>
      </c>
      <c r="C108" s="3" t="s">
        <v>140</v>
      </c>
      <c r="D108" s="4" t="s">
        <v>132</v>
      </c>
      <c r="E108" s="4" t="s">
        <v>386</v>
      </c>
      <c r="F108" s="4" t="b">
        <v>0</v>
      </c>
      <c r="G108" s="4" t="b">
        <v>0</v>
      </c>
      <c r="H108" s="4" t="b">
        <v>0</v>
      </c>
      <c r="I108" s="4" t="b">
        <v>0</v>
      </c>
      <c r="J108" s="4">
        <v>42</v>
      </c>
      <c r="K108" s="4">
        <v>43</v>
      </c>
      <c r="L108" s="71"/>
      <c r="M108" s="9"/>
      <c r="N108" s="9"/>
      <c r="O108" s="9"/>
      <c r="P108" s="9"/>
      <c r="Q108" s="9"/>
      <c r="R108" s="9"/>
      <c r="S108" s="42"/>
      <c r="T108" s="9"/>
      <c r="U108" s="9"/>
      <c r="V108" s="9"/>
      <c r="W108" s="9"/>
      <c r="X108" s="9"/>
      <c r="Y108" s="9"/>
      <c r="Z108" s="17"/>
      <c r="AC108" s="9"/>
      <c r="AD108" s="9"/>
      <c r="AE108" s="9"/>
      <c r="AF108" s="9"/>
    </row>
    <row r="109" spans="1:32" s="4" customFormat="1" x14ac:dyDescent="0.2">
      <c r="A109" s="3" t="s">
        <v>141</v>
      </c>
      <c r="B109" s="21">
        <v>1</v>
      </c>
      <c r="C109" s="3" t="s">
        <v>142</v>
      </c>
      <c r="D109" s="4" t="s">
        <v>132</v>
      </c>
      <c r="E109" s="4" t="s">
        <v>387</v>
      </c>
      <c r="F109" s="4" t="b">
        <v>1</v>
      </c>
      <c r="G109" s="4" t="b">
        <v>1</v>
      </c>
      <c r="H109" s="4" t="b">
        <v>0</v>
      </c>
      <c r="I109" s="4" t="b">
        <v>0</v>
      </c>
      <c r="J109" s="4">
        <v>11</v>
      </c>
      <c r="K109" s="4">
        <v>12</v>
      </c>
      <c r="L109" s="71"/>
      <c r="M109" s="9"/>
      <c r="N109" s="9"/>
      <c r="O109" s="9"/>
      <c r="P109" s="9"/>
      <c r="Q109" s="9"/>
      <c r="R109" s="9"/>
      <c r="S109" s="42"/>
      <c r="T109" s="9"/>
      <c r="U109" s="9"/>
      <c r="V109" s="9"/>
      <c r="W109" s="9"/>
      <c r="X109" s="9"/>
      <c r="Y109" s="9"/>
      <c r="Z109" s="17"/>
      <c r="AC109" s="9"/>
      <c r="AD109" s="9"/>
      <c r="AE109" s="9"/>
      <c r="AF109" s="9"/>
    </row>
    <row r="110" spans="1:32" s="4" customFormat="1" x14ac:dyDescent="0.2">
      <c r="A110" s="3" t="s">
        <v>143</v>
      </c>
      <c r="B110" s="21">
        <v>1</v>
      </c>
      <c r="C110" s="3" t="s">
        <v>144</v>
      </c>
      <c r="D110" s="4" t="s">
        <v>132</v>
      </c>
      <c r="E110" s="4" t="s">
        <v>388</v>
      </c>
      <c r="F110" s="4" t="b">
        <v>1</v>
      </c>
      <c r="G110" s="4" t="b">
        <v>1</v>
      </c>
      <c r="H110" s="4" t="b">
        <v>0</v>
      </c>
      <c r="I110" s="4" t="b">
        <v>0</v>
      </c>
      <c r="J110" s="4">
        <v>13</v>
      </c>
      <c r="K110" s="4">
        <v>14</v>
      </c>
      <c r="L110" s="71"/>
      <c r="M110" s="9"/>
      <c r="N110" s="9"/>
      <c r="O110" s="9"/>
      <c r="P110" s="9"/>
      <c r="Q110" s="9"/>
      <c r="R110" s="9"/>
      <c r="S110" s="42"/>
      <c r="T110" s="9"/>
      <c r="U110" s="9"/>
      <c r="V110" s="9"/>
      <c r="W110" s="9"/>
      <c r="X110" s="9"/>
      <c r="Y110" s="9"/>
      <c r="Z110" s="17"/>
      <c r="AC110" s="9"/>
      <c r="AD110" s="9"/>
      <c r="AE110" s="9"/>
      <c r="AF110" s="9"/>
    </row>
    <row r="111" spans="1:32" x14ac:dyDescent="0.2">
      <c r="A111" s="2" t="s">
        <v>145</v>
      </c>
      <c r="B111" s="20">
        <v>1</v>
      </c>
      <c r="C111" s="2" t="s">
        <v>146</v>
      </c>
      <c r="D111" t="s">
        <v>132</v>
      </c>
      <c r="E111" t="s">
        <v>389</v>
      </c>
      <c r="F111" t="b">
        <v>0</v>
      </c>
      <c r="G111" t="b">
        <v>0</v>
      </c>
      <c r="H111" t="b">
        <v>1</v>
      </c>
      <c r="I111" t="b">
        <v>0</v>
      </c>
      <c r="J111">
        <v>46</v>
      </c>
      <c r="K111">
        <v>47</v>
      </c>
    </row>
    <row r="112" spans="1:32" s="4" customFormat="1" x14ac:dyDescent="0.2">
      <c r="A112" s="3" t="s">
        <v>145</v>
      </c>
      <c r="B112" s="21">
        <v>2</v>
      </c>
      <c r="C112" s="3" t="s">
        <v>146</v>
      </c>
      <c r="D112" s="4" t="s">
        <v>132</v>
      </c>
      <c r="E112" s="4" t="s">
        <v>390</v>
      </c>
      <c r="F112" s="4" t="b">
        <v>0</v>
      </c>
      <c r="G112" s="4" t="b">
        <v>0</v>
      </c>
      <c r="H112" s="4" t="b">
        <v>1</v>
      </c>
      <c r="I112" s="4" t="b">
        <v>0</v>
      </c>
      <c r="J112" s="4">
        <v>48</v>
      </c>
      <c r="K112" s="4">
        <v>49</v>
      </c>
      <c r="L112" s="71"/>
      <c r="M112" s="9"/>
      <c r="N112" s="9"/>
      <c r="O112" s="9"/>
      <c r="P112" s="9"/>
      <c r="Q112" s="9"/>
      <c r="R112" s="9"/>
      <c r="S112" s="42"/>
      <c r="T112" s="9"/>
      <c r="U112" s="9"/>
      <c r="V112" s="9"/>
      <c r="W112" s="9"/>
      <c r="X112" s="9"/>
      <c r="Y112" s="9"/>
      <c r="Z112" s="17"/>
      <c r="AC112" s="9"/>
      <c r="AD112" s="9"/>
      <c r="AE112" s="9"/>
      <c r="AF112" s="9"/>
    </row>
    <row r="113" spans="1:32" s="4" customFormat="1" x14ac:dyDescent="0.2">
      <c r="A113" s="3" t="s">
        <v>147</v>
      </c>
      <c r="B113" s="21">
        <v>1</v>
      </c>
      <c r="C113" s="3" t="s">
        <v>148</v>
      </c>
      <c r="D113" s="4" t="s">
        <v>132</v>
      </c>
      <c r="E113" s="4" t="s">
        <v>391</v>
      </c>
      <c r="F113" s="4" t="b">
        <v>1</v>
      </c>
      <c r="G113" s="4" t="b">
        <v>1</v>
      </c>
      <c r="H113" s="4" t="b">
        <v>1</v>
      </c>
      <c r="I113" s="11" t="b">
        <v>0</v>
      </c>
      <c r="J113" s="4">
        <v>29</v>
      </c>
      <c r="K113" s="4">
        <v>31</v>
      </c>
      <c r="L113" s="71"/>
      <c r="M113" s="9"/>
      <c r="N113" s="9"/>
      <c r="O113" s="9"/>
      <c r="P113" s="9"/>
      <c r="Q113" s="9"/>
      <c r="R113" s="9"/>
      <c r="S113" s="42"/>
      <c r="T113" s="9"/>
      <c r="U113" s="9"/>
      <c r="V113" s="9"/>
      <c r="W113" s="9"/>
      <c r="X113" s="9"/>
      <c r="Y113" s="9"/>
      <c r="Z113" s="17"/>
      <c r="AC113" s="9"/>
      <c r="AD113" s="9"/>
      <c r="AE113" s="9"/>
      <c r="AF113" s="9"/>
    </row>
    <row r="114" spans="1:32" s="4" customFormat="1" x14ac:dyDescent="0.2">
      <c r="A114" s="3" t="s">
        <v>149</v>
      </c>
      <c r="B114" s="21">
        <v>1</v>
      </c>
      <c r="C114" s="3" t="s">
        <v>150</v>
      </c>
      <c r="D114" s="4" t="s">
        <v>132</v>
      </c>
      <c r="E114" s="4" t="s">
        <v>392</v>
      </c>
      <c r="F114" s="4" t="b">
        <v>0</v>
      </c>
      <c r="G114" s="4" t="b">
        <v>0</v>
      </c>
      <c r="H114" s="4" t="b">
        <v>0</v>
      </c>
      <c r="I114" s="11" t="b">
        <v>0</v>
      </c>
      <c r="J114" s="4">
        <v>8</v>
      </c>
      <c r="K114" s="4">
        <v>10</v>
      </c>
      <c r="L114" s="71" t="b">
        <v>1</v>
      </c>
      <c r="M114" s="9" t="b">
        <v>0</v>
      </c>
      <c r="N114" s="9" t="b">
        <v>0</v>
      </c>
      <c r="O114" s="9"/>
      <c r="P114" s="9"/>
      <c r="Q114" s="9"/>
      <c r="R114" s="9"/>
      <c r="S114" s="42" t="b">
        <v>1</v>
      </c>
      <c r="T114" s="9" t="b">
        <v>0</v>
      </c>
      <c r="U114" s="9" t="b">
        <v>0</v>
      </c>
      <c r="V114" s="9"/>
      <c r="W114" s="9"/>
      <c r="X114" s="9"/>
      <c r="Y114" s="9"/>
      <c r="Z114" s="17"/>
      <c r="AC114" s="9"/>
      <c r="AD114" s="9"/>
      <c r="AE114" s="9"/>
      <c r="AF114" s="9"/>
    </row>
    <row r="115" spans="1:32" x14ac:dyDescent="0.2">
      <c r="A115" s="2" t="s">
        <v>151</v>
      </c>
      <c r="B115" s="20">
        <v>1</v>
      </c>
      <c r="C115" s="2" t="s">
        <v>152</v>
      </c>
      <c r="D115" t="s">
        <v>132</v>
      </c>
      <c r="E115" t="s">
        <v>395</v>
      </c>
      <c r="F115" t="b">
        <v>1</v>
      </c>
      <c r="G115" t="b">
        <v>1</v>
      </c>
      <c r="H115" t="b">
        <v>1</v>
      </c>
      <c r="I115" t="b">
        <v>0</v>
      </c>
      <c r="J115">
        <v>19</v>
      </c>
      <c r="K115">
        <v>20</v>
      </c>
    </row>
    <row r="116" spans="1:32" s="4" customFormat="1" x14ac:dyDescent="0.2">
      <c r="A116" s="3" t="s">
        <v>151</v>
      </c>
      <c r="B116" s="21">
        <v>2</v>
      </c>
      <c r="C116" s="3" t="s">
        <v>152</v>
      </c>
      <c r="D116" s="4" t="s">
        <v>132</v>
      </c>
      <c r="E116" s="4" t="s">
        <v>396</v>
      </c>
      <c r="F116" s="4" t="b">
        <v>1</v>
      </c>
      <c r="G116" s="4" t="b">
        <v>1</v>
      </c>
      <c r="H116" s="4" t="b">
        <v>0</v>
      </c>
      <c r="I116" s="4" t="b">
        <v>0</v>
      </c>
      <c r="J116" s="4">
        <v>21</v>
      </c>
      <c r="K116" s="4">
        <v>22</v>
      </c>
      <c r="L116" s="71"/>
      <c r="M116" s="9"/>
      <c r="N116" s="9"/>
      <c r="O116" s="9"/>
      <c r="P116" s="9"/>
      <c r="Q116" s="9"/>
      <c r="R116" s="9"/>
      <c r="S116" s="42"/>
      <c r="T116" s="9"/>
      <c r="U116" s="9"/>
      <c r="V116" s="9"/>
      <c r="W116" s="9"/>
      <c r="X116" s="9"/>
      <c r="Y116" s="9"/>
      <c r="Z116" s="17"/>
      <c r="AC116" s="9"/>
      <c r="AD116" s="9"/>
      <c r="AE116" s="9"/>
      <c r="AF116" s="9"/>
    </row>
    <row r="117" spans="1:32" s="4" customFormat="1" x14ac:dyDescent="0.2">
      <c r="A117" s="3" t="s">
        <v>153</v>
      </c>
      <c r="B117" s="21">
        <v>1</v>
      </c>
      <c r="C117" s="3" t="s">
        <v>154</v>
      </c>
      <c r="D117" s="4" t="s">
        <v>132</v>
      </c>
      <c r="E117" s="4" t="s">
        <v>399</v>
      </c>
      <c r="F117" s="4" t="b">
        <v>1</v>
      </c>
      <c r="G117" s="4" t="b">
        <v>1</v>
      </c>
      <c r="H117" s="4" t="b">
        <v>1</v>
      </c>
      <c r="I117" s="4" t="b">
        <v>0</v>
      </c>
      <c r="J117" s="4">
        <v>34</v>
      </c>
      <c r="K117" s="4">
        <v>35</v>
      </c>
      <c r="L117" s="71"/>
      <c r="M117" s="9"/>
      <c r="N117" s="9"/>
      <c r="O117" s="9"/>
      <c r="P117" s="9"/>
      <c r="Q117" s="9"/>
      <c r="R117" s="9"/>
      <c r="S117" s="42"/>
      <c r="T117" s="9"/>
      <c r="U117" s="9"/>
      <c r="V117" s="9"/>
      <c r="W117" s="9"/>
      <c r="X117" s="9"/>
      <c r="Y117" s="9"/>
      <c r="Z117" s="17"/>
      <c r="AC117" s="9"/>
      <c r="AD117" s="9"/>
      <c r="AE117" s="9"/>
      <c r="AF117" s="9"/>
    </row>
    <row r="118" spans="1:32" s="4" customFormat="1" x14ac:dyDescent="0.2">
      <c r="A118" s="3" t="s">
        <v>155</v>
      </c>
      <c r="B118" s="21">
        <v>1</v>
      </c>
      <c r="C118" s="3" t="s">
        <v>156</v>
      </c>
      <c r="D118" s="4" t="s">
        <v>132</v>
      </c>
      <c r="E118" s="4" t="s">
        <v>400</v>
      </c>
      <c r="F118" s="4" t="b">
        <v>1</v>
      </c>
      <c r="G118" s="4" t="b">
        <v>1</v>
      </c>
      <c r="H118" s="4" t="b">
        <v>0</v>
      </c>
      <c r="I118" s="4" t="b">
        <v>0</v>
      </c>
      <c r="J118" s="4">
        <v>27</v>
      </c>
      <c r="K118" s="4">
        <v>28</v>
      </c>
      <c r="L118" s="71"/>
      <c r="M118" s="9"/>
      <c r="N118" s="9"/>
      <c r="O118" s="9"/>
      <c r="P118" s="9"/>
      <c r="Q118" s="9"/>
      <c r="R118" s="9"/>
      <c r="S118" s="42"/>
      <c r="T118" s="9"/>
      <c r="U118" s="9"/>
      <c r="V118" s="9"/>
      <c r="W118" s="9"/>
      <c r="X118" s="9"/>
      <c r="Y118" s="9"/>
      <c r="Z118" s="17"/>
      <c r="AC118" s="9"/>
      <c r="AD118" s="9"/>
      <c r="AE118" s="9"/>
      <c r="AF118" s="9"/>
    </row>
    <row r="119" spans="1:32" s="4" customFormat="1" x14ac:dyDescent="0.2">
      <c r="A119" s="3" t="s">
        <v>157</v>
      </c>
      <c r="B119" s="21">
        <v>1</v>
      </c>
      <c r="C119" s="3" t="s">
        <v>158</v>
      </c>
      <c r="D119" s="4" t="s">
        <v>132</v>
      </c>
      <c r="E119" s="4" t="s">
        <v>401</v>
      </c>
      <c r="F119" s="4" t="b">
        <v>1</v>
      </c>
      <c r="G119" s="4" t="b">
        <v>1</v>
      </c>
      <c r="H119" s="4" t="b">
        <v>0</v>
      </c>
      <c r="I119" s="4" t="b">
        <v>0</v>
      </c>
      <c r="J119" s="4">
        <v>4</v>
      </c>
      <c r="K119" s="4">
        <v>5</v>
      </c>
      <c r="L119" s="71"/>
      <c r="M119" s="9"/>
      <c r="N119" s="9"/>
      <c r="O119" s="9"/>
      <c r="P119" s="9"/>
      <c r="Q119" s="9"/>
      <c r="R119" s="9"/>
      <c r="S119" s="42"/>
      <c r="T119" s="9"/>
      <c r="U119" s="9"/>
      <c r="V119" s="9"/>
      <c r="W119" s="9"/>
      <c r="X119" s="9"/>
      <c r="Y119" s="9"/>
      <c r="Z119" s="17"/>
      <c r="AC119" s="9"/>
      <c r="AD119" s="9"/>
      <c r="AE119" s="9"/>
      <c r="AF119" s="9"/>
    </row>
    <row r="120" spans="1:32" x14ac:dyDescent="0.2">
      <c r="A120" s="2" t="s">
        <v>159</v>
      </c>
      <c r="B120" s="20">
        <v>1</v>
      </c>
      <c r="C120" s="2" t="s">
        <v>160</v>
      </c>
      <c r="D120" t="s">
        <v>132</v>
      </c>
      <c r="E120" t="s">
        <v>393</v>
      </c>
      <c r="F120" t="b">
        <v>1</v>
      </c>
      <c r="G120" t="b">
        <v>1</v>
      </c>
      <c r="H120" s="14" t="b">
        <v>1</v>
      </c>
      <c r="I120" s="14" t="b">
        <v>0</v>
      </c>
      <c r="J120">
        <v>15</v>
      </c>
      <c r="K120">
        <v>16</v>
      </c>
    </row>
    <row r="121" spans="1:32" x14ac:dyDescent="0.2">
      <c r="A121" s="2" t="s">
        <v>159</v>
      </c>
      <c r="B121" s="20">
        <v>2</v>
      </c>
      <c r="C121" s="2" t="s">
        <v>160</v>
      </c>
      <c r="D121" t="s">
        <v>132</v>
      </c>
      <c r="E121" t="s">
        <v>394</v>
      </c>
      <c r="F121" t="b">
        <v>1</v>
      </c>
      <c r="G121" t="b">
        <v>1</v>
      </c>
      <c r="H121" t="b">
        <v>1</v>
      </c>
      <c r="I121" t="b">
        <v>0</v>
      </c>
      <c r="J121">
        <v>17</v>
      </c>
      <c r="K121">
        <v>18</v>
      </c>
    </row>
    <row r="122" spans="1:32" x14ac:dyDescent="0.2">
      <c r="A122" s="2" t="s">
        <v>159</v>
      </c>
      <c r="B122" s="20">
        <v>3</v>
      </c>
      <c r="C122" s="2" t="s">
        <v>160</v>
      </c>
      <c r="D122" t="s">
        <v>132</v>
      </c>
      <c r="E122" t="s">
        <v>397</v>
      </c>
      <c r="F122" t="b">
        <v>1</v>
      </c>
      <c r="G122" t="b">
        <v>1</v>
      </c>
      <c r="H122" t="b">
        <v>1</v>
      </c>
      <c r="I122" t="b">
        <v>0</v>
      </c>
      <c r="J122">
        <v>23</v>
      </c>
      <c r="K122">
        <v>24</v>
      </c>
    </row>
    <row r="123" spans="1:32" s="4" customFormat="1" x14ac:dyDescent="0.2">
      <c r="A123" s="3" t="s">
        <v>159</v>
      </c>
      <c r="B123" s="21">
        <v>4</v>
      </c>
      <c r="C123" s="3" t="s">
        <v>160</v>
      </c>
      <c r="D123" s="4" t="s">
        <v>132</v>
      </c>
      <c r="E123" s="4" t="s">
        <v>398</v>
      </c>
      <c r="F123" s="4" t="b">
        <v>1</v>
      </c>
      <c r="G123" s="4" t="b">
        <v>1</v>
      </c>
      <c r="H123" s="4" t="b">
        <v>1</v>
      </c>
      <c r="I123" s="4" t="b">
        <v>0</v>
      </c>
      <c r="J123" s="4">
        <v>25</v>
      </c>
      <c r="K123" s="4">
        <v>26</v>
      </c>
      <c r="L123" s="71"/>
      <c r="M123" s="9"/>
      <c r="N123" s="9"/>
      <c r="O123" s="9"/>
      <c r="P123" s="9"/>
      <c r="Q123" s="9"/>
      <c r="R123" s="9"/>
      <c r="S123" s="42"/>
      <c r="T123" s="9"/>
      <c r="U123" s="9"/>
      <c r="V123" s="9"/>
      <c r="W123" s="9"/>
      <c r="X123" s="9"/>
      <c r="Y123" s="9"/>
      <c r="Z123" s="17"/>
      <c r="AC123" s="9"/>
      <c r="AD123" s="9"/>
      <c r="AE123" s="9"/>
      <c r="AF123" s="9"/>
    </row>
    <row r="124" spans="1:32" s="4" customFormat="1" x14ac:dyDescent="0.2">
      <c r="A124" s="3" t="s">
        <v>161</v>
      </c>
      <c r="B124" s="21">
        <v>1</v>
      </c>
      <c r="C124" s="3" t="s">
        <v>162</v>
      </c>
      <c r="D124" s="4" t="s">
        <v>132</v>
      </c>
      <c r="E124" s="4" t="s">
        <v>402</v>
      </c>
      <c r="F124" s="4" t="b">
        <v>0</v>
      </c>
      <c r="G124" s="4" t="b">
        <v>0</v>
      </c>
      <c r="H124" s="4" t="b">
        <v>1</v>
      </c>
      <c r="I124" s="4" t="b">
        <v>0</v>
      </c>
      <c r="J124" s="4">
        <v>6</v>
      </c>
      <c r="K124" s="4">
        <v>7</v>
      </c>
      <c r="L124" s="71" t="b">
        <v>1</v>
      </c>
      <c r="M124" s="9" t="b">
        <v>0</v>
      </c>
      <c r="N124" s="9" t="b">
        <v>0</v>
      </c>
      <c r="O124" s="9"/>
      <c r="P124" s="9"/>
      <c r="Q124" s="9"/>
      <c r="R124" s="9"/>
      <c r="S124" s="42"/>
      <c r="T124" s="9"/>
      <c r="U124" s="9"/>
      <c r="V124" s="9"/>
      <c r="W124" s="9"/>
      <c r="X124" s="9"/>
      <c r="Y124" s="9"/>
      <c r="Z124" s="17"/>
      <c r="AC124" s="9"/>
      <c r="AD124" s="9"/>
      <c r="AE124" s="9"/>
      <c r="AF124" s="9"/>
    </row>
    <row r="125" spans="1:32" x14ac:dyDescent="0.2">
      <c r="A125" s="2" t="s">
        <v>163</v>
      </c>
      <c r="B125" s="20">
        <v>1</v>
      </c>
      <c r="C125" s="2" t="s">
        <v>164</v>
      </c>
      <c r="D125" t="s">
        <v>132</v>
      </c>
      <c r="E125" t="s">
        <v>403</v>
      </c>
      <c r="F125" t="b">
        <v>1</v>
      </c>
      <c r="G125" t="b">
        <v>1</v>
      </c>
      <c r="H125" t="b">
        <v>0</v>
      </c>
      <c r="I125" t="b">
        <v>0</v>
      </c>
      <c r="J125">
        <v>36</v>
      </c>
      <c r="K125">
        <v>37</v>
      </c>
    </row>
    <row r="126" spans="1:32" s="4" customFormat="1" x14ac:dyDescent="0.2">
      <c r="A126" s="3" t="s">
        <v>163</v>
      </c>
      <c r="B126" s="21">
        <v>2</v>
      </c>
      <c r="C126" s="3" t="s">
        <v>164</v>
      </c>
      <c r="D126" s="4" t="s">
        <v>132</v>
      </c>
      <c r="E126" s="4" t="s">
        <v>404</v>
      </c>
      <c r="F126" s="4" t="b">
        <v>1</v>
      </c>
      <c r="G126" s="4" t="b">
        <v>1</v>
      </c>
      <c r="H126" s="4" t="b">
        <v>0</v>
      </c>
      <c r="I126" s="4" t="b">
        <v>0</v>
      </c>
      <c r="J126" s="4">
        <v>38</v>
      </c>
      <c r="K126" s="4">
        <v>39</v>
      </c>
      <c r="L126" s="71"/>
      <c r="M126" s="9"/>
      <c r="N126" s="9"/>
      <c r="O126" s="9"/>
      <c r="P126" s="9"/>
      <c r="Q126" s="9"/>
      <c r="R126" s="9"/>
      <c r="S126" s="42"/>
      <c r="T126" s="9"/>
      <c r="U126" s="9"/>
      <c r="V126" s="9"/>
      <c r="W126" s="9"/>
      <c r="X126" s="9"/>
      <c r="Y126" s="9"/>
      <c r="Z126" s="17"/>
      <c r="AC126" s="9"/>
      <c r="AD126" s="9"/>
      <c r="AE126" s="9"/>
      <c r="AF126" s="9"/>
    </row>
    <row r="127" spans="1:32" s="4" customFormat="1" x14ac:dyDescent="0.2">
      <c r="A127" s="3" t="s">
        <v>165</v>
      </c>
      <c r="B127" s="21">
        <v>1</v>
      </c>
      <c r="C127" s="3" t="s">
        <v>166</v>
      </c>
      <c r="D127" s="4" t="s">
        <v>132</v>
      </c>
      <c r="E127" s="4" t="s">
        <v>405</v>
      </c>
      <c r="F127" s="4" t="b">
        <v>1</v>
      </c>
      <c r="G127" s="4" t="b">
        <v>1</v>
      </c>
      <c r="H127" s="4" t="b">
        <v>0</v>
      </c>
      <c r="I127" s="4" t="b">
        <v>0</v>
      </c>
      <c r="J127" s="4">
        <v>50</v>
      </c>
      <c r="K127" s="4">
        <v>51</v>
      </c>
      <c r="L127" s="71"/>
      <c r="M127" s="9"/>
      <c r="N127" s="9"/>
      <c r="O127" s="9"/>
      <c r="P127" s="9"/>
      <c r="Q127" s="9"/>
      <c r="R127" s="9"/>
      <c r="S127" s="42"/>
      <c r="T127" s="9"/>
      <c r="U127" s="9"/>
      <c r="V127" s="9"/>
      <c r="W127" s="9"/>
      <c r="X127" s="9"/>
      <c r="Y127" s="9"/>
      <c r="Z127" s="17"/>
      <c r="AC127" s="9"/>
      <c r="AD127" s="9"/>
      <c r="AE127" s="9"/>
      <c r="AF127" s="9"/>
    </row>
    <row r="128" spans="1:32" s="4" customFormat="1" x14ac:dyDescent="0.2">
      <c r="A128" s="3" t="s">
        <v>167</v>
      </c>
      <c r="B128" s="21">
        <v>1</v>
      </c>
      <c r="C128" s="3" t="s">
        <v>168</v>
      </c>
      <c r="D128" s="4" t="s">
        <v>132</v>
      </c>
      <c r="E128" s="4" t="s">
        <v>406</v>
      </c>
      <c r="F128" s="4" t="b">
        <v>0</v>
      </c>
      <c r="G128" s="4" t="b">
        <v>0</v>
      </c>
      <c r="H128" s="4" t="b">
        <v>0</v>
      </c>
      <c r="I128" s="4" t="b">
        <v>0</v>
      </c>
      <c r="J128" s="4">
        <v>40</v>
      </c>
      <c r="K128" s="4">
        <v>41</v>
      </c>
      <c r="L128" s="71"/>
      <c r="M128" s="9"/>
      <c r="N128" s="9"/>
      <c r="O128" s="9"/>
      <c r="P128" s="9"/>
      <c r="Q128" s="9"/>
      <c r="R128" s="9"/>
      <c r="S128" s="42"/>
      <c r="T128" s="9"/>
      <c r="U128" s="9"/>
      <c r="V128" s="9"/>
      <c r="W128" s="9"/>
      <c r="X128" s="9"/>
      <c r="Y128" s="9"/>
      <c r="Z128" s="17"/>
      <c r="AC128" s="9"/>
      <c r="AD128" s="9"/>
      <c r="AE128" s="9"/>
      <c r="AF128" s="9"/>
    </row>
    <row r="129" spans="1:32" s="61" customFormat="1" ht="17" thickBot="1" x14ac:dyDescent="0.25">
      <c r="A129" s="59" t="s">
        <v>169</v>
      </c>
      <c r="B129" s="60">
        <v>1</v>
      </c>
      <c r="C129" s="59" t="s">
        <v>170</v>
      </c>
      <c r="D129" s="61" t="s">
        <v>132</v>
      </c>
      <c r="E129" s="61" t="s">
        <v>407</v>
      </c>
      <c r="F129" s="61" t="b">
        <v>1</v>
      </c>
      <c r="G129" s="61" t="b">
        <v>1</v>
      </c>
      <c r="H129" s="61" t="b">
        <v>0</v>
      </c>
      <c r="I129" s="61" t="b">
        <v>0</v>
      </c>
      <c r="J129" s="61">
        <v>52</v>
      </c>
      <c r="K129" s="61">
        <v>53</v>
      </c>
      <c r="L129" s="77"/>
      <c r="M129" s="63"/>
      <c r="N129" s="63"/>
      <c r="O129" s="63"/>
      <c r="P129" s="63"/>
      <c r="Q129" s="63"/>
      <c r="R129" s="63"/>
      <c r="S129" s="62"/>
      <c r="T129" s="63"/>
      <c r="U129" s="63"/>
      <c r="V129" s="63"/>
      <c r="W129" s="63"/>
      <c r="X129" s="63"/>
      <c r="Y129" s="63"/>
      <c r="Z129" s="64"/>
      <c r="AC129" s="63"/>
      <c r="AD129" s="63"/>
      <c r="AE129" s="63"/>
      <c r="AF129" s="63"/>
    </row>
    <row r="130" spans="1:32" s="4" customFormat="1" x14ac:dyDescent="0.2">
      <c r="A130" s="3" t="s">
        <v>171</v>
      </c>
      <c r="B130" s="21">
        <v>1</v>
      </c>
      <c r="C130" s="3" t="s">
        <v>172</v>
      </c>
      <c r="D130" s="4" t="s">
        <v>173</v>
      </c>
      <c r="E130" s="4" t="s">
        <v>408</v>
      </c>
      <c r="F130" s="4" t="b">
        <v>1</v>
      </c>
      <c r="G130" s="4" t="b">
        <v>1</v>
      </c>
      <c r="H130" s="4" t="b">
        <v>0</v>
      </c>
      <c r="I130" s="4" t="b">
        <v>0</v>
      </c>
      <c r="J130" s="4">
        <v>43</v>
      </c>
      <c r="K130" s="4">
        <v>44</v>
      </c>
      <c r="L130" s="71"/>
      <c r="M130" s="9"/>
      <c r="N130" s="9"/>
      <c r="O130" s="9"/>
      <c r="P130" s="9"/>
      <c r="Q130" s="9"/>
      <c r="R130" s="9"/>
      <c r="S130" s="42"/>
      <c r="T130" s="9"/>
      <c r="U130" s="9"/>
      <c r="V130" s="9"/>
      <c r="W130" s="9"/>
      <c r="X130" s="9"/>
      <c r="Y130" s="9"/>
      <c r="Z130" s="17"/>
      <c r="AC130" s="9"/>
      <c r="AD130" s="9"/>
      <c r="AE130" s="9"/>
      <c r="AF130" s="9"/>
    </row>
    <row r="131" spans="1:32" s="4" customFormat="1" x14ac:dyDescent="0.2">
      <c r="A131" s="3" t="s">
        <v>174</v>
      </c>
      <c r="B131" s="21">
        <v>1</v>
      </c>
      <c r="C131" s="3" t="s">
        <v>175</v>
      </c>
      <c r="D131" s="4" t="s">
        <v>173</v>
      </c>
      <c r="E131" s="4" t="s">
        <v>426</v>
      </c>
      <c r="F131" s="4" t="b">
        <v>0</v>
      </c>
      <c r="G131" s="4" t="b">
        <v>0</v>
      </c>
      <c r="H131" s="4" t="b">
        <v>0</v>
      </c>
      <c r="I131" s="4" t="b">
        <v>0</v>
      </c>
      <c r="J131" s="4">
        <v>17</v>
      </c>
      <c r="K131" s="4">
        <v>18</v>
      </c>
      <c r="L131" s="71"/>
      <c r="M131" s="9"/>
      <c r="N131" s="9"/>
      <c r="O131" s="9"/>
      <c r="P131" s="9"/>
      <c r="Q131" s="9"/>
      <c r="R131" s="9"/>
      <c r="S131" s="42"/>
      <c r="T131" s="9"/>
      <c r="U131" s="9"/>
      <c r="V131" s="9"/>
      <c r="W131" s="9"/>
      <c r="X131" s="9"/>
      <c r="Y131" s="9"/>
      <c r="Z131" s="17"/>
      <c r="AC131" s="9"/>
      <c r="AD131" s="9"/>
      <c r="AE131" s="9"/>
      <c r="AF131" s="9"/>
    </row>
    <row r="132" spans="1:32" s="4" customFormat="1" x14ac:dyDescent="0.2">
      <c r="A132" s="3" t="s">
        <v>176</v>
      </c>
      <c r="B132" s="21">
        <v>1</v>
      </c>
      <c r="C132" s="3" t="s">
        <v>177</v>
      </c>
      <c r="D132" s="4" t="s">
        <v>173</v>
      </c>
      <c r="E132" s="4" t="s">
        <v>421</v>
      </c>
      <c r="F132" s="4" t="b">
        <v>0</v>
      </c>
      <c r="G132" s="4" t="b">
        <v>0</v>
      </c>
      <c r="H132" s="4" t="b">
        <v>0</v>
      </c>
      <c r="I132" s="4" t="b">
        <v>0</v>
      </c>
      <c r="J132" s="4">
        <v>7</v>
      </c>
      <c r="K132" s="4">
        <v>8</v>
      </c>
      <c r="L132" s="71"/>
      <c r="M132" s="9"/>
      <c r="N132" s="9"/>
      <c r="O132" s="9"/>
      <c r="P132" s="9"/>
      <c r="Q132" s="9"/>
      <c r="R132" s="9"/>
      <c r="S132" s="42"/>
      <c r="T132" s="9"/>
      <c r="U132" s="9"/>
      <c r="V132" s="9"/>
      <c r="W132" s="9"/>
      <c r="X132" s="9"/>
      <c r="Y132" s="9"/>
      <c r="Z132" s="17" t="s">
        <v>480</v>
      </c>
      <c r="AA132" s="4" t="b">
        <v>0</v>
      </c>
      <c r="AC132" s="9"/>
      <c r="AD132" s="9"/>
      <c r="AE132" s="9"/>
      <c r="AF132" s="9"/>
    </row>
    <row r="133" spans="1:32" s="4" customFormat="1" x14ac:dyDescent="0.2">
      <c r="A133" s="3" t="s">
        <v>178</v>
      </c>
      <c r="B133" s="21">
        <v>1</v>
      </c>
      <c r="C133" s="3" t="s">
        <v>179</v>
      </c>
      <c r="D133" s="4" t="s">
        <v>173</v>
      </c>
      <c r="E133" s="4" t="s">
        <v>420</v>
      </c>
      <c r="F133" s="4" t="b">
        <v>1</v>
      </c>
      <c r="G133" s="4" t="b">
        <v>1</v>
      </c>
      <c r="H133" s="4" t="b">
        <v>0</v>
      </c>
      <c r="I133" s="11" t="b">
        <v>0</v>
      </c>
      <c r="J133" s="4">
        <v>5</v>
      </c>
      <c r="K133" s="4">
        <v>6</v>
      </c>
      <c r="L133" s="71"/>
      <c r="M133" s="9"/>
      <c r="N133" s="9"/>
      <c r="O133" s="9"/>
      <c r="P133" s="9"/>
      <c r="Q133" s="9"/>
      <c r="R133" s="9"/>
      <c r="S133" s="42"/>
      <c r="T133" s="9"/>
      <c r="U133" s="9"/>
      <c r="V133" s="9"/>
      <c r="W133" s="9"/>
      <c r="X133" s="9"/>
      <c r="Y133" s="9"/>
      <c r="Z133" s="17" t="b">
        <v>1</v>
      </c>
      <c r="AA133" s="4" t="b">
        <v>0</v>
      </c>
      <c r="AB133" s="4" t="b">
        <v>0</v>
      </c>
      <c r="AC133" s="9"/>
      <c r="AD133" s="9"/>
      <c r="AE133" s="9"/>
      <c r="AF133" s="9"/>
    </row>
    <row r="134" spans="1:32" s="4" customFormat="1" x14ac:dyDescent="0.2">
      <c r="A134" s="3" t="s">
        <v>180</v>
      </c>
      <c r="B134" s="21">
        <v>1</v>
      </c>
      <c r="C134" s="3" t="s">
        <v>181</v>
      </c>
      <c r="D134" s="4" t="s">
        <v>173</v>
      </c>
      <c r="E134" s="4" t="s">
        <v>427</v>
      </c>
      <c r="F134" s="4" t="b">
        <v>1</v>
      </c>
      <c r="G134" s="4" t="b">
        <v>1</v>
      </c>
      <c r="H134" s="4" t="b">
        <v>0</v>
      </c>
      <c r="I134" s="4" t="b">
        <v>0</v>
      </c>
      <c r="J134" s="4">
        <v>19</v>
      </c>
      <c r="K134" s="4">
        <v>20</v>
      </c>
      <c r="L134" s="71"/>
      <c r="M134" s="9"/>
      <c r="N134" s="9"/>
      <c r="O134" s="9"/>
      <c r="P134" s="9"/>
      <c r="Q134" s="9"/>
      <c r="R134" s="9"/>
      <c r="S134" s="42"/>
      <c r="T134" s="9"/>
      <c r="U134" s="9"/>
      <c r="V134" s="9"/>
      <c r="W134" s="9"/>
      <c r="X134" s="9"/>
      <c r="Y134" s="9"/>
      <c r="Z134" s="17"/>
      <c r="AC134" s="9"/>
      <c r="AD134" s="9"/>
      <c r="AE134" s="9"/>
      <c r="AF134" s="9"/>
    </row>
    <row r="135" spans="1:32" s="4" customFormat="1" x14ac:dyDescent="0.2">
      <c r="A135" s="3" t="s">
        <v>182</v>
      </c>
      <c r="B135" s="21">
        <v>1</v>
      </c>
      <c r="C135" s="3" t="s">
        <v>183</v>
      </c>
      <c r="D135" s="4" t="s">
        <v>173</v>
      </c>
      <c r="E135" s="4" t="s">
        <v>422</v>
      </c>
      <c r="F135" s="4" t="b">
        <v>1</v>
      </c>
      <c r="G135" s="4" t="b">
        <v>1</v>
      </c>
      <c r="H135" s="4" t="b">
        <v>1</v>
      </c>
      <c r="I135" s="11" t="b">
        <v>0</v>
      </c>
      <c r="J135" s="4">
        <v>9</v>
      </c>
      <c r="K135" s="4">
        <v>10</v>
      </c>
      <c r="L135" s="71"/>
      <c r="M135" s="9"/>
      <c r="N135" s="9"/>
      <c r="O135" s="9"/>
      <c r="P135" s="9"/>
      <c r="Q135" s="9"/>
      <c r="R135" s="9"/>
      <c r="S135" s="42"/>
      <c r="T135" s="9"/>
      <c r="U135" s="9"/>
      <c r="V135" s="9"/>
      <c r="W135" s="9"/>
      <c r="X135" s="9"/>
      <c r="Y135" s="9"/>
      <c r="Z135" s="17"/>
      <c r="AC135" s="9"/>
      <c r="AD135" s="9"/>
      <c r="AE135" s="9"/>
      <c r="AF135" s="9"/>
    </row>
    <row r="136" spans="1:32" x14ac:dyDescent="0.2">
      <c r="A136" s="2" t="s">
        <v>184</v>
      </c>
      <c r="B136" s="20">
        <v>1</v>
      </c>
      <c r="C136" s="2" t="s">
        <v>185</v>
      </c>
      <c r="D136" t="s">
        <v>173</v>
      </c>
      <c r="E136" t="s">
        <v>409</v>
      </c>
      <c r="F136" t="b">
        <v>1</v>
      </c>
      <c r="G136" t="b">
        <v>1</v>
      </c>
      <c r="H136" t="b">
        <v>0</v>
      </c>
      <c r="I136" t="b">
        <v>0</v>
      </c>
      <c r="J136">
        <v>25</v>
      </c>
      <c r="K136">
        <v>26</v>
      </c>
    </row>
    <row r="137" spans="1:32" x14ac:dyDescent="0.2">
      <c r="A137" s="2" t="s">
        <v>184</v>
      </c>
      <c r="B137" s="20">
        <v>2</v>
      </c>
      <c r="C137" s="2" t="s">
        <v>185</v>
      </c>
      <c r="D137" t="s">
        <v>173</v>
      </c>
      <c r="E137" t="s">
        <v>410</v>
      </c>
      <c r="F137" t="b">
        <v>1</v>
      </c>
      <c r="G137" t="b">
        <v>1</v>
      </c>
      <c r="H137" t="b">
        <v>0</v>
      </c>
      <c r="I137" t="b">
        <v>0</v>
      </c>
      <c r="J137">
        <v>27</v>
      </c>
      <c r="K137">
        <v>28</v>
      </c>
    </row>
    <row r="138" spans="1:32" x14ac:dyDescent="0.2">
      <c r="A138" s="2" t="s">
        <v>184</v>
      </c>
      <c r="B138" s="20">
        <v>3</v>
      </c>
      <c r="C138" s="2" t="s">
        <v>185</v>
      </c>
      <c r="D138" t="s">
        <v>173</v>
      </c>
      <c r="E138" t="s">
        <v>411</v>
      </c>
      <c r="F138" t="b">
        <v>1</v>
      </c>
      <c r="G138" t="b">
        <v>1</v>
      </c>
      <c r="H138" t="b">
        <v>0</v>
      </c>
      <c r="I138" t="b">
        <v>0</v>
      </c>
      <c r="J138">
        <v>29</v>
      </c>
      <c r="K138">
        <v>30</v>
      </c>
    </row>
    <row r="139" spans="1:32" x14ac:dyDescent="0.2">
      <c r="A139" s="2" t="s">
        <v>184</v>
      </c>
      <c r="B139" s="20">
        <v>4</v>
      </c>
      <c r="C139" s="2" t="s">
        <v>185</v>
      </c>
      <c r="D139" t="s">
        <v>173</v>
      </c>
      <c r="E139" t="s">
        <v>412</v>
      </c>
      <c r="F139" t="b">
        <v>1</v>
      </c>
      <c r="G139" t="b">
        <v>1</v>
      </c>
      <c r="H139" t="b">
        <v>0</v>
      </c>
      <c r="I139" t="b">
        <v>0</v>
      </c>
      <c r="J139">
        <v>31</v>
      </c>
      <c r="K139">
        <v>32</v>
      </c>
    </row>
    <row r="140" spans="1:32" x14ac:dyDescent="0.2">
      <c r="A140" s="2" t="s">
        <v>184</v>
      </c>
      <c r="B140" s="20">
        <v>5</v>
      </c>
      <c r="C140" s="2" t="s">
        <v>185</v>
      </c>
      <c r="D140" t="s">
        <v>173</v>
      </c>
      <c r="E140" t="s">
        <v>413</v>
      </c>
      <c r="F140" t="b">
        <v>1</v>
      </c>
      <c r="G140" t="b">
        <v>1</v>
      </c>
      <c r="H140" t="b">
        <v>0</v>
      </c>
      <c r="I140" t="b">
        <v>0</v>
      </c>
      <c r="J140">
        <v>33</v>
      </c>
      <c r="K140">
        <v>34</v>
      </c>
    </row>
    <row r="141" spans="1:32" x14ac:dyDescent="0.2">
      <c r="A141" s="2" t="s">
        <v>184</v>
      </c>
      <c r="B141" s="20">
        <v>6</v>
      </c>
      <c r="C141" s="2" t="s">
        <v>185</v>
      </c>
      <c r="D141" t="s">
        <v>173</v>
      </c>
      <c r="E141" t="s">
        <v>414</v>
      </c>
      <c r="F141" t="b">
        <v>1</v>
      </c>
      <c r="G141" t="b">
        <v>1</v>
      </c>
      <c r="H141" t="b">
        <v>0</v>
      </c>
      <c r="I141" t="b">
        <v>0</v>
      </c>
      <c r="J141">
        <v>35</v>
      </c>
      <c r="K141">
        <v>36</v>
      </c>
    </row>
    <row r="142" spans="1:32" s="4" customFormat="1" x14ac:dyDescent="0.2">
      <c r="A142" s="3" t="s">
        <v>184</v>
      </c>
      <c r="B142" s="21">
        <v>7</v>
      </c>
      <c r="C142" s="3" t="s">
        <v>185</v>
      </c>
      <c r="D142" s="4" t="s">
        <v>173</v>
      </c>
      <c r="E142" s="4" t="s">
        <v>415</v>
      </c>
      <c r="F142" s="4" t="b">
        <v>1</v>
      </c>
      <c r="G142" s="4" t="b">
        <v>1</v>
      </c>
      <c r="H142" s="4" t="b">
        <v>0</v>
      </c>
      <c r="I142" s="4" t="b">
        <v>0</v>
      </c>
      <c r="J142" s="4">
        <v>37</v>
      </c>
      <c r="K142" s="4">
        <v>38</v>
      </c>
      <c r="L142" s="71"/>
      <c r="M142" s="9"/>
      <c r="N142" s="9"/>
      <c r="O142" s="9"/>
      <c r="P142" s="9"/>
      <c r="Q142" s="9"/>
      <c r="R142" s="9"/>
      <c r="S142" s="42"/>
      <c r="T142" s="9"/>
      <c r="U142" s="9"/>
      <c r="V142" s="9"/>
      <c r="W142" s="9"/>
      <c r="X142" s="9"/>
      <c r="Y142" s="9"/>
      <c r="Z142" s="17"/>
      <c r="AC142" s="9"/>
      <c r="AD142" s="9"/>
      <c r="AE142" s="9"/>
      <c r="AF142" s="9"/>
    </row>
    <row r="143" spans="1:32" s="4" customFormat="1" x14ac:dyDescent="0.2">
      <c r="A143" s="3" t="s">
        <v>186</v>
      </c>
      <c r="B143" s="21">
        <v>1</v>
      </c>
      <c r="C143" s="3" t="s">
        <v>187</v>
      </c>
      <c r="D143" s="4" t="s">
        <v>173</v>
      </c>
      <c r="E143" s="4" t="s">
        <v>428</v>
      </c>
      <c r="F143" s="4" t="b">
        <v>1</v>
      </c>
      <c r="G143" s="4" t="b">
        <v>1</v>
      </c>
      <c r="H143" s="4" t="b">
        <v>1</v>
      </c>
      <c r="I143" s="4" t="b">
        <v>0</v>
      </c>
      <c r="J143" s="4">
        <v>55</v>
      </c>
      <c r="K143" s="4">
        <v>56</v>
      </c>
      <c r="L143" s="71"/>
      <c r="M143" s="9"/>
      <c r="N143" s="9"/>
      <c r="O143" s="9"/>
      <c r="P143" s="9"/>
      <c r="Q143" s="9"/>
      <c r="R143" s="9"/>
      <c r="S143" s="42"/>
      <c r="T143" s="9"/>
      <c r="U143" s="9"/>
      <c r="V143" s="9"/>
      <c r="W143" s="9"/>
      <c r="X143" s="9"/>
      <c r="Y143" s="9"/>
      <c r="Z143" s="17"/>
      <c r="AC143" s="9"/>
      <c r="AD143" s="9"/>
      <c r="AE143" s="9"/>
      <c r="AF143" s="9"/>
    </row>
    <row r="144" spans="1:32" s="4" customFormat="1" x14ac:dyDescent="0.2">
      <c r="A144" s="3" t="s">
        <v>188</v>
      </c>
      <c r="B144" s="21">
        <v>1</v>
      </c>
      <c r="C144" s="3" t="s">
        <v>189</v>
      </c>
      <c r="D144" s="4" t="s">
        <v>173</v>
      </c>
      <c r="E144" s="4" t="s">
        <v>419</v>
      </c>
      <c r="F144" s="4" t="b">
        <v>1</v>
      </c>
      <c r="G144" s="4" t="b">
        <v>1</v>
      </c>
      <c r="H144" s="4" t="b">
        <v>0</v>
      </c>
      <c r="I144" s="11" t="b">
        <v>0</v>
      </c>
      <c r="J144" s="4">
        <v>3</v>
      </c>
      <c r="K144" s="4">
        <v>4</v>
      </c>
      <c r="L144" s="71"/>
      <c r="M144" s="9"/>
      <c r="N144" s="9"/>
      <c r="O144" s="9"/>
      <c r="P144" s="9"/>
      <c r="Q144" s="9"/>
      <c r="R144" s="9"/>
      <c r="S144" s="42"/>
      <c r="T144" s="9"/>
      <c r="U144" s="9"/>
      <c r="V144" s="9"/>
      <c r="W144" s="9"/>
      <c r="X144" s="9"/>
      <c r="Y144" s="9"/>
      <c r="Z144" s="17" t="b">
        <v>1</v>
      </c>
      <c r="AA144" s="4" t="b">
        <v>1</v>
      </c>
      <c r="AB144" s="4" t="b">
        <v>1</v>
      </c>
      <c r="AC144" s="9"/>
      <c r="AD144" s="9"/>
      <c r="AE144" s="9"/>
      <c r="AF144" s="9"/>
    </row>
    <row r="145" spans="1:32" x14ac:dyDescent="0.2">
      <c r="A145" s="2" t="s">
        <v>190</v>
      </c>
      <c r="B145" s="20">
        <v>1</v>
      </c>
      <c r="C145" s="2" t="s">
        <v>191</v>
      </c>
      <c r="D145" t="s">
        <v>173</v>
      </c>
      <c r="E145" t="s">
        <v>423</v>
      </c>
      <c r="F145" t="b">
        <v>1</v>
      </c>
      <c r="G145" t="b">
        <v>1</v>
      </c>
      <c r="H145" t="b">
        <v>0</v>
      </c>
      <c r="I145" t="b">
        <v>0</v>
      </c>
      <c r="J145">
        <v>11</v>
      </c>
      <c r="K145">
        <v>12</v>
      </c>
    </row>
    <row r="146" spans="1:32" x14ac:dyDescent="0.2">
      <c r="A146" s="2" t="s">
        <v>190</v>
      </c>
      <c r="B146" s="20">
        <v>2</v>
      </c>
      <c r="C146" s="2" t="s">
        <v>191</v>
      </c>
      <c r="D146" t="s">
        <v>173</v>
      </c>
      <c r="E146" t="s">
        <v>424</v>
      </c>
      <c r="F146" t="b">
        <v>1</v>
      </c>
      <c r="G146" t="b">
        <v>1</v>
      </c>
      <c r="H146" t="b">
        <v>1</v>
      </c>
      <c r="I146" t="b">
        <v>0</v>
      </c>
      <c r="J146">
        <v>13</v>
      </c>
      <c r="K146">
        <v>14</v>
      </c>
    </row>
    <row r="147" spans="1:32" s="4" customFormat="1" x14ac:dyDescent="0.2">
      <c r="A147" s="3" t="s">
        <v>190</v>
      </c>
      <c r="B147" s="21">
        <v>3</v>
      </c>
      <c r="C147" s="3" t="s">
        <v>191</v>
      </c>
      <c r="D147" s="4" t="s">
        <v>173</v>
      </c>
      <c r="E147" s="4" t="s">
        <v>425</v>
      </c>
      <c r="F147" s="4" t="b">
        <v>1</v>
      </c>
      <c r="G147" s="4" t="b">
        <v>1</v>
      </c>
      <c r="H147" s="4" t="b">
        <v>0</v>
      </c>
      <c r="I147" s="4" t="b">
        <v>0</v>
      </c>
      <c r="J147" s="4">
        <v>15</v>
      </c>
      <c r="K147" s="4">
        <v>16</v>
      </c>
      <c r="L147" s="71"/>
      <c r="M147" s="9"/>
      <c r="N147" s="9"/>
      <c r="O147" s="9"/>
      <c r="P147" s="9"/>
      <c r="Q147" s="9"/>
      <c r="R147" s="9"/>
      <c r="S147" s="42"/>
      <c r="T147" s="9"/>
      <c r="U147" s="9"/>
      <c r="V147" s="9"/>
      <c r="W147" s="9"/>
      <c r="X147" s="9"/>
      <c r="Y147" s="9"/>
      <c r="Z147" s="17" t="b">
        <v>1</v>
      </c>
      <c r="AA147" s="4" t="b">
        <v>1</v>
      </c>
      <c r="AB147" s="4" t="b">
        <v>1</v>
      </c>
      <c r="AC147" s="9"/>
      <c r="AD147" s="9"/>
      <c r="AE147" s="9"/>
      <c r="AF147" s="9"/>
    </row>
    <row r="148" spans="1:32" s="4" customFormat="1" x14ac:dyDescent="0.2">
      <c r="A148" s="3" t="s">
        <v>192</v>
      </c>
      <c r="B148" s="21">
        <v>1</v>
      </c>
      <c r="C148" s="3" t="s">
        <v>193</v>
      </c>
      <c r="D148" s="4" t="s">
        <v>173</v>
      </c>
      <c r="E148" s="4" t="s">
        <v>418</v>
      </c>
      <c r="F148" s="4" t="b">
        <v>1</v>
      </c>
      <c r="G148" s="4" t="b">
        <v>1</v>
      </c>
      <c r="H148" s="4" t="b">
        <v>0</v>
      </c>
      <c r="I148" s="4" t="b">
        <v>0</v>
      </c>
      <c r="J148" s="4">
        <v>0</v>
      </c>
      <c r="K148" s="4">
        <v>2</v>
      </c>
      <c r="L148" s="71"/>
      <c r="M148" s="9"/>
      <c r="N148" s="9"/>
      <c r="O148" s="9"/>
      <c r="P148" s="9"/>
      <c r="Q148" s="9"/>
      <c r="R148" s="9"/>
      <c r="S148" s="42"/>
      <c r="T148" s="9"/>
      <c r="U148" s="9"/>
      <c r="V148" s="9"/>
      <c r="W148" s="9"/>
      <c r="X148" s="9"/>
      <c r="Y148" s="9"/>
      <c r="Z148" s="17" t="b">
        <v>1</v>
      </c>
      <c r="AA148" s="4" t="b">
        <v>1</v>
      </c>
      <c r="AB148" s="4" t="b">
        <v>1</v>
      </c>
      <c r="AC148" s="9"/>
      <c r="AD148" s="9"/>
      <c r="AE148" s="9"/>
      <c r="AF148" s="9"/>
    </row>
    <row r="149" spans="1:32" s="4" customFormat="1" x14ac:dyDescent="0.2">
      <c r="A149" s="3" t="s">
        <v>194</v>
      </c>
      <c r="B149" s="21">
        <v>1</v>
      </c>
      <c r="C149" s="3" t="s">
        <v>195</v>
      </c>
      <c r="D149" s="4" t="s">
        <v>173</v>
      </c>
      <c r="E149" s="4" t="s">
        <v>429</v>
      </c>
      <c r="F149" s="4" t="b">
        <v>1</v>
      </c>
      <c r="G149" s="4" t="b">
        <v>1</v>
      </c>
      <c r="H149" s="4" t="b">
        <v>0</v>
      </c>
      <c r="I149" s="4" t="b">
        <v>0</v>
      </c>
      <c r="J149" s="4">
        <v>57</v>
      </c>
      <c r="K149" s="4">
        <v>58</v>
      </c>
      <c r="L149" s="71"/>
      <c r="M149" s="9"/>
      <c r="N149" s="9"/>
      <c r="O149" s="9"/>
      <c r="P149" s="9"/>
      <c r="Q149" s="9"/>
      <c r="R149" s="9"/>
      <c r="S149" s="42"/>
      <c r="T149" s="9"/>
      <c r="U149" s="9"/>
      <c r="V149" s="9"/>
      <c r="W149" s="9"/>
      <c r="X149" s="9"/>
      <c r="Y149" s="9"/>
      <c r="Z149" s="17"/>
      <c r="AC149" s="9"/>
      <c r="AD149" s="9"/>
      <c r="AE149" s="9"/>
      <c r="AF149" s="9"/>
    </row>
    <row r="150" spans="1:32" s="4" customFormat="1" x14ac:dyDescent="0.2">
      <c r="A150" s="3" t="s">
        <v>196</v>
      </c>
      <c r="B150" s="21">
        <v>1</v>
      </c>
      <c r="C150" s="3" t="s">
        <v>197</v>
      </c>
      <c r="D150" s="4" t="s">
        <v>173</v>
      </c>
      <c r="E150" s="4" t="s">
        <v>430</v>
      </c>
      <c r="F150" s="4" t="b">
        <v>1</v>
      </c>
      <c r="G150" s="4" t="b">
        <v>1</v>
      </c>
      <c r="H150" s="4" t="b">
        <v>1</v>
      </c>
      <c r="I150" s="4" t="b">
        <v>0</v>
      </c>
      <c r="J150" s="4">
        <v>23</v>
      </c>
      <c r="K150" s="4">
        <v>24</v>
      </c>
      <c r="L150" s="71"/>
      <c r="M150" s="9"/>
      <c r="N150" s="9"/>
      <c r="O150" s="9"/>
      <c r="P150" s="9"/>
      <c r="Q150" s="9"/>
      <c r="R150" s="9"/>
      <c r="S150" s="42"/>
      <c r="T150" s="9"/>
      <c r="U150" s="9"/>
      <c r="V150" s="9"/>
      <c r="W150" s="9"/>
      <c r="X150" s="9"/>
      <c r="Y150" s="9"/>
      <c r="Z150" s="17"/>
      <c r="AC150" s="9"/>
      <c r="AD150" s="9"/>
      <c r="AE150" s="9"/>
      <c r="AF150" s="9"/>
    </row>
    <row r="151" spans="1:32" s="4" customFormat="1" x14ac:dyDescent="0.2">
      <c r="A151" s="3" t="s">
        <v>198</v>
      </c>
      <c r="B151" s="21">
        <v>1</v>
      </c>
      <c r="C151" s="3" t="s">
        <v>199</v>
      </c>
      <c r="D151" s="4" t="s">
        <v>173</v>
      </c>
      <c r="E151" s="4" t="s">
        <v>431</v>
      </c>
      <c r="F151" s="4" t="b">
        <v>1</v>
      </c>
      <c r="G151" s="4" t="b">
        <v>1</v>
      </c>
      <c r="H151" s="4" t="b">
        <v>1</v>
      </c>
      <c r="I151" s="11" t="b">
        <v>0</v>
      </c>
      <c r="J151" s="4">
        <v>21</v>
      </c>
      <c r="K151" s="4">
        <v>22</v>
      </c>
      <c r="L151" s="71"/>
      <c r="M151" s="9"/>
      <c r="N151" s="9"/>
      <c r="O151" s="9"/>
      <c r="P151" s="9"/>
      <c r="Q151" s="9"/>
      <c r="R151" s="9"/>
      <c r="S151" s="42"/>
      <c r="T151" s="9"/>
      <c r="U151" s="9"/>
      <c r="V151" s="9"/>
      <c r="W151" s="9"/>
      <c r="X151" s="9"/>
      <c r="Y151" s="9"/>
      <c r="Z151" s="17"/>
      <c r="AC151" s="9"/>
      <c r="AD151" s="9"/>
      <c r="AE151" s="9"/>
      <c r="AF151" s="9"/>
    </row>
    <row r="152" spans="1:32" x14ac:dyDescent="0.2">
      <c r="A152" s="2" t="s">
        <v>200</v>
      </c>
      <c r="B152" s="20">
        <v>1</v>
      </c>
      <c r="C152" s="2" t="s">
        <v>201</v>
      </c>
      <c r="D152" t="s">
        <v>173</v>
      </c>
      <c r="E152" t="s">
        <v>416</v>
      </c>
      <c r="F152" t="b">
        <v>1</v>
      </c>
      <c r="G152" t="b">
        <v>1</v>
      </c>
      <c r="H152" t="b">
        <v>0</v>
      </c>
      <c r="I152" t="b">
        <v>0</v>
      </c>
      <c r="J152">
        <v>39</v>
      </c>
      <c r="K152">
        <v>40</v>
      </c>
    </row>
    <row r="153" spans="1:32" s="4" customFormat="1" x14ac:dyDescent="0.2">
      <c r="A153" s="3" t="s">
        <v>200</v>
      </c>
      <c r="B153" s="21">
        <v>2</v>
      </c>
      <c r="C153" s="3" t="s">
        <v>201</v>
      </c>
      <c r="D153" s="4" t="s">
        <v>173</v>
      </c>
      <c r="E153" s="4" t="s">
        <v>417</v>
      </c>
      <c r="F153" s="4" t="b">
        <v>1</v>
      </c>
      <c r="G153" s="4" t="b">
        <v>1</v>
      </c>
      <c r="H153" s="4" t="b">
        <v>0</v>
      </c>
      <c r="I153" s="4" t="b">
        <v>0</v>
      </c>
      <c r="J153" s="4">
        <v>41</v>
      </c>
      <c r="K153" s="4">
        <v>42</v>
      </c>
      <c r="L153" s="71"/>
      <c r="M153" s="9"/>
      <c r="N153" s="9"/>
      <c r="O153" s="9"/>
      <c r="P153" s="9"/>
      <c r="Q153" s="9"/>
      <c r="R153" s="9"/>
      <c r="S153" s="42"/>
      <c r="T153" s="9"/>
      <c r="U153" s="9"/>
      <c r="V153" s="9"/>
      <c r="W153" s="9"/>
      <c r="X153" s="9"/>
      <c r="Y153" s="9"/>
      <c r="Z153" s="17"/>
      <c r="AC153" s="9"/>
      <c r="AD153" s="9"/>
      <c r="AE153" s="9"/>
      <c r="AF153" s="9"/>
    </row>
    <row r="154" spans="1:32" x14ac:dyDescent="0.2">
      <c r="A154" s="7" t="s">
        <v>202</v>
      </c>
      <c r="B154" s="24">
        <v>1</v>
      </c>
      <c r="C154" s="7" t="s">
        <v>203</v>
      </c>
      <c r="D154" t="s">
        <v>173</v>
      </c>
      <c r="E154" t="s">
        <v>433</v>
      </c>
      <c r="F154" t="b">
        <v>1</v>
      </c>
      <c r="G154" t="b">
        <v>1</v>
      </c>
      <c r="H154" t="b">
        <v>1</v>
      </c>
      <c r="I154" t="b">
        <v>0</v>
      </c>
      <c r="J154">
        <v>45</v>
      </c>
      <c r="K154">
        <v>46</v>
      </c>
    </row>
    <row r="155" spans="1:32" x14ac:dyDescent="0.2">
      <c r="A155" s="7" t="s">
        <v>202</v>
      </c>
      <c r="B155" s="24">
        <v>2</v>
      </c>
      <c r="C155" s="7" t="s">
        <v>203</v>
      </c>
      <c r="D155" t="s">
        <v>173</v>
      </c>
      <c r="E155" t="s">
        <v>434</v>
      </c>
      <c r="F155" t="b">
        <v>1</v>
      </c>
      <c r="G155" t="b">
        <v>1</v>
      </c>
      <c r="H155" t="b">
        <v>1</v>
      </c>
      <c r="I155" t="b">
        <v>0</v>
      </c>
      <c r="J155">
        <v>47</v>
      </c>
      <c r="K155">
        <v>48</v>
      </c>
    </row>
    <row r="156" spans="1:32" x14ac:dyDescent="0.2">
      <c r="A156" s="7" t="s">
        <v>202</v>
      </c>
      <c r="B156" s="24">
        <v>3</v>
      </c>
      <c r="C156" s="7" t="s">
        <v>203</v>
      </c>
      <c r="D156" t="s">
        <v>173</v>
      </c>
      <c r="E156" t="s">
        <v>435</v>
      </c>
      <c r="F156" t="b">
        <v>1</v>
      </c>
      <c r="G156" t="b">
        <v>1</v>
      </c>
      <c r="H156" t="b">
        <v>1</v>
      </c>
      <c r="I156" t="b">
        <v>0</v>
      </c>
      <c r="J156">
        <v>49</v>
      </c>
      <c r="K156">
        <v>50</v>
      </c>
    </row>
    <row r="157" spans="1:32" x14ac:dyDescent="0.2">
      <c r="A157" s="7" t="s">
        <v>202</v>
      </c>
      <c r="B157" s="24">
        <v>4</v>
      </c>
      <c r="C157" s="7" t="s">
        <v>203</v>
      </c>
      <c r="D157" t="s">
        <v>173</v>
      </c>
      <c r="E157" t="s">
        <v>436</v>
      </c>
      <c r="F157" t="b">
        <v>1</v>
      </c>
      <c r="G157" t="b">
        <v>1</v>
      </c>
      <c r="H157" t="b">
        <v>1</v>
      </c>
      <c r="I157" t="b">
        <v>0</v>
      </c>
      <c r="J157">
        <v>51</v>
      </c>
      <c r="K157">
        <v>52</v>
      </c>
    </row>
    <row r="158" spans="1:32" s="55" customFormat="1" ht="17" thickBot="1" x14ac:dyDescent="0.25">
      <c r="A158" s="53" t="s">
        <v>202</v>
      </c>
      <c r="B158" s="54">
        <v>5</v>
      </c>
      <c r="C158" s="53" t="s">
        <v>203</v>
      </c>
      <c r="D158" s="55" t="s">
        <v>173</v>
      </c>
      <c r="E158" s="55" t="s">
        <v>432</v>
      </c>
      <c r="F158" s="55" t="b">
        <v>1</v>
      </c>
      <c r="G158" s="55" t="b">
        <v>1</v>
      </c>
      <c r="H158" s="55" t="b">
        <v>0</v>
      </c>
      <c r="I158" s="55" t="b">
        <v>0</v>
      </c>
      <c r="J158" s="55">
        <v>53</v>
      </c>
      <c r="K158" s="55">
        <v>54</v>
      </c>
      <c r="L158" s="74"/>
      <c r="M158" s="57"/>
      <c r="N158" s="57"/>
      <c r="O158" s="57"/>
      <c r="P158" s="57"/>
      <c r="Q158" s="57"/>
      <c r="R158" s="57"/>
      <c r="S158" s="56"/>
      <c r="T158" s="57"/>
      <c r="U158" s="57"/>
      <c r="V158" s="57"/>
      <c r="W158" s="57"/>
      <c r="X158" s="57"/>
      <c r="Y158" s="57"/>
      <c r="Z158" s="58"/>
      <c r="AC158" s="57"/>
      <c r="AD158" s="57"/>
      <c r="AE158" s="57"/>
      <c r="AF158" s="57"/>
    </row>
    <row r="159" spans="1:32" s="4" customFormat="1" x14ac:dyDescent="0.2">
      <c r="A159" s="3" t="s">
        <v>204</v>
      </c>
      <c r="B159" s="21">
        <v>1</v>
      </c>
      <c r="C159" s="3" t="s">
        <v>205</v>
      </c>
      <c r="D159" s="4" t="s">
        <v>206</v>
      </c>
      <c r="E159" s="4" t="s">
        <v>438</v>
      </c>
      <c r="F159" s="4" t="b">
        <v>1</v>
      </c>
      <c r="G159" s="4" t="b">
        <v>1</v>
      </c>
      <c r="H159" s="4" t="b">
        <v>1</v>
      </c>
      <c r="I159" s="4" t="b">
        <v>0</v>
      </c>
      <c r="J159" s="4">
        <v>36</v>
      </c>
      <c r="K159" s="4">
        <v>37</v>
      </c>
      <c r="L159" s="71" t="b">
        <v>1</v>
      </c>
      <c r="M159" s="9" t="b">
        <v>0</v>
      </c>
      <c r="N159" s="9" t="b">
        <v>0</v>
      </c>
      <c r="O159" s="9"/>
      <c r="P159" s="9"/>
      <c r="Q159" s="9"/>
      <c r="R159" s="9"/>
      <c r="S159" s="42"/>
      <c r="T159" s="9"/>
      <c r="U159" s="9"/>
      <c r="V159" s="9"/>
      <c r="W159" s="9"/>
      <c r="X159" s="9"/>
      <c r="Y159" s="9"/>
      <c r="Z159" s="17"/>
      <c r="AC159" s="9"/>
      <c r="AD159" s="9"/>
      <c r="AE159" s="9"/>
      <c r="AF159" s="9"/>
    </row>
    <row r="160" spans="1:32" s="4" customFormat="1" x14ac:dyDescent="0.2">
      <c r="A160" s="3" t="s">
        <v>207</v>
      </c>
      <c r="B160" s="21">
        <v>1</v>
      </c>
      <c r="C160" s="3" t="s">
        <v>208</v>
      </c>
      <c r="D160" s="4" t="s">
        <v>206</v>
      </c>
      <c r="E160" s="4" t="s">
        <v>439</v>
      </c>
      <c r="F160" s="4" t="b">
        <v>1</v>
      </c>
      <c r="G160" s="4" t="b">
        <v>1</v>
      </c>
      <c r="H160" s="4" t="b">
        <v>0</v>
      </c>
      <c r="I160" s="4" t="b">
        <v>0</v>
      </c>
      <c r="J160" s="4">
        <v>24</v>
      </c>
      <c r="K160" s="4">
        <v>25</v>
      </c>
      <c r="L160" s="71" t="b">
        <v>1</v>
      </c>
      <c r="M160" s="9" t="b">
        <v>0</v>
      </c>
      <c r="N160" s="9" t="b">
        <v>0</v>
      </c>
      <c r="O160" s="9"/>
      <c r="P160" s="9"/>
      <c r="Q160" s="9"/>
      <c r="R160" s="9"/>
      <c r="S160" s="42"/>
      <c r="T160" s="9"/>
      <c r="U160" s="9"/>
      <c r="V160" s="9"/>
      <c r="W160" s="9"/>
      <c r="X160" s="9"/>
      <c r="Y160" s="9"/>
      <c r="Z160" s="17"/>
      <c r="AC160" s="9"/>
      <c r="AD160" s="9"/>
      <c r="AE160" s="9"/>
      <c r="AF160" s="9"/>
    </row>
    <row r="161" spans="1:32" x14ac:dyDescent="0.2">
      <c r="A161" s="2" t="s">
        <v>209</v>
      </c>
      <c r="B161" s="20">
        <v>1</v>
      </c>
      <c r="C161" s="2" t="s">
        <v>210</v>
      </c>
      <c r="D161" t="s">
        <v>206</v>
      </c>
      <c r="E161" t="s">
        <v>441</v>
      </c>
      <c r="F161" t="b">
        <v>1</v>
      </c>
      <c r="G161" t="b">
        <v>1</v>
      </c>
      <c r="H161" t="b">
        <v>0</v>
      </c>
      <c r="I161" t="b">
        <v>0</v>
      </c>
      <c r="J161">
        <v>52</v>
      </c>
      <c r="K161">
        <v>53</v>
      </c>
    </row>
    <row r="162" spans="1:32" s="4" customFormat="1" x14ac:dyDescent="0.2">
      <c r="A162" s="3" t="s">
        <v>209</v>
      </c>
      <c r="B162" s="21">
        <v>2</v>
      </c>
      <c r="C162" s="3" t="s">
        <v>210</v>
      </c>
      <c r="D162" s="4" t="s">
        <v>206</v>
      </c>
      <c r="E162" s="4" t="s">
        <v>442</v>
      </c>
      <c r="F162" s="4" t="b">
        <v>1</v>
      </c>
      <c r="G162" s="4" t="b">
        <v>1</v>
      </c>
      <c r="H162" s="4" t="b">
        <v>0</v>
      </c>
      <c r="I162" s="4" t="b">
        <v>0</v>
      </c>
      <c r="J162" s="4">
        <v>54</v>
      </c>
      <c r="K162" s="4">
        <v>55</v>
      </c>
      <c r="L162" s="71"/>
      <c r="M162" s="9"/>
      <c r="N162" s="9"/>
      <c r="O162" s="9"/>
      <c r="P162" s="9"/>
      <c r="Q162" s="9"/>
      <c r="R162" s="9"/>
      <c r="S162" s="42"/>
      <c r="T162" s="9"/>
      <c r="U162" s="9"/>
      <c r="V162" s="9"/>
      <c r="W162" s="9"/>
      <c r="X162" s="9"/>
      <c r="Y162" s="9"/>
      <c r="Z162" s="17"/>
      <c r="AC162" s="9"/>
      <c r="AD162" s="9"/>
      <c r="AE162" s="9"/>
      <c r="AF162" s="9"/>
    </row>
    <row r="163" spans="1:32" s="11" customFormat="1" x14ac:dyDescent="0.2">
      <c r="A163" s="10" t="s">
        <v>211</v>
      </c>
      <c r="B163" s="48">
        <v>1</v>
      </c>
      <c r="C163" s="10" t="s">
        <v>212</v>
      </c>
      <c r="D163" s="11" t="s">
        <v>206</v>
      </c>
      <c r="E163" s="11" t="s">
        <v>443</v>
      </c>
      <c r="F163" s="11" t="b">
        <v>1</v>
      </c>
      <c r="G163" s="11" t="b">
        <v>1</v>
      </c>
      <c r="H163" s="11" t="b">
        <v>1</v>
      </c>
      <c r="I163" s="11" t="b">
        <v>0</v>
      </c>
      <c r="J163" s="11">
        <v>50</v>
      </c>
      <c r="K163" s="11">
        <v>51</v>
      </c>
      <c r="L163" s="73"/>
      <c r="M163" s="12"/>
      <c r="N163" s="12"/>
      <c r="O163" s="12"/>
      <c r="P163" s="12"/>
      <c r="Q163" s="12"/>
      <c r="R163" s="12"/>
      <c r="S163" s="49"/>
      <c r="T163" s="12"/>
      <c r="U163" s="12"/>
      <c r="V163" s="12"/>
      <c r="W163" s="12"/>
      <c r="X163" s="12"/>
      <c r="Y163" s="12"/>
      <c r="Z163" s="18"/>
      <c r="AC163" s="12"/>
      <c r="AD163" s="12"/>
      <c r="AE163" s="12"/>
      <c r="AF163" s="12"/>
    </row>
    <row r="164" spans="1:32" s="4" customFormat="1" x14ac:dyDescent="0.2">
      <c r="A164" s="3" t="s">
        <v>213</v>
      </c>
      <c r="B164" s="21">
        <v>1</v>
      </c>
      <c r="C164" s="3" t="s">
        <v>214</v>
      </c>
      <c r="D164" s="4" t="s">
        <v>206</v>
      </c>
      <c r="E164" s="4" t="s">
        <v>440</v>
      </c>
      <c r="F164" s="4" t="b">
        <v>0</v>
      </c>
      <c r="G164" s="4" t="b">
        <v>0</v>
      </c>
      <c r="H164" s="4" t="b">
        <v>1</v>
      </c>
      <c r="I164" s="4" t="b">
        <v>0</v>
      </c>
      <c r="J164" s="4">
        <v>26</v>
      </c>
      <c r="K164" s="4">
        <v>27</v>
      </c>
      <c r="L164" s="71" t="b">
        <v>1</v>
      </c>
      <c r="M164" s="9" t="b">
        <v>1</v>
      </c>
      <c r="N164" s="9" t="b">
        <v>1</v>
      </c>
      <c r="O164" s="9"/>
      <c r="P164" s="9"/>
      <c r="Q164" s="9"/>
      <c r="R164" s="9"/>
      <c r="S164" s="42"/>
      <c r="T164" s="9"/>
      <c r="U164" s="9"/>
      <c r="V164" s="9"/>
      <c r="W164" s="9"/>
      <c r="X164" s="9"/>
      <c r="Y164" s="9"/>
      <c r="Z164" s="17"/>
      <c r="AC164" s="9"/>
      <c r="AD164" s="9"/>
      <c r="AE164" s="9"/>
      <c r="AF164" s="9"/>
    </row>
    <row r="165" spans="1:32" s="4" customFormat="1" x14ac:dyDescent="0.2">
      <c r="A165" s="3" t="s">
        <v>215</v>
      </c>
      <c r="B165" s="21">
        <v>1</v>
      </c>
      <c r="C165" s="3" t="s">
        <v>216</v>
      </c>
      <c r="D165" s="4" t="s">
        <v>206</v>
      </c>
      <c r="E165" s="4" t="s">
        <v>444</v>
      </c>
      <c r="F165" s="4" t="b">
        <v>1</v>
      </c>
      <c r="G165" s="4" t="b">
        <v>1</v>
      </c>
      <c r="H165" s="4" t="b">
        <v>1</v>
      </c>
      <c r="I165" s="4" t="b">
        <v>0</v>
      </c>
      <c r="J165" s="4">
        <v>48</v>
      </c>
      <c r="K165" s="4">
        <v>49</v>
      </c>
      <c r="L165" s="71" t="b">
        <v>1</v>
      </c>
      <c r="M165" s="9" t="b">
        <v>0</v>
      </c>
      <c r="N165" s="9" t="b">
        <v>0</v>
      </c>
      <c r="O165" s="9"/>
      <c r="P165" s="9"/>
      <c r="Q165" s="9"/>
      <c r="R165" s="9"/>
      <c r="S165" s="42"/>
      <c r="T165" s="9"/>
      <c r="U165" s="9"/>
      <c r="V165" s="9"/>
      <c r="W165" s="9"/>
      <c r="X165" s="9"/>
      <c r="Y165" s="9"/>
      <c r="Z165" s="17" t="b">
        <v>1</v>
      </c>
      <c r="AA165" s="4" t="b">
        <v>1</v>
      </c>
      <c r="AB165" s="4" t="b">
        <v>1</v>
      </c>
      <c r="AC165" s="9"/>
      <c r="AD165" s="9"/>
      <c r="AE165" s="9"/>
      <c r="AF165" s="9"/>
    </row>
    <row r="166" spans="1:32" s="4" customFormat="1" x14ac:dyDescent="0.2">
      <c r="A166" s="3" t="s">
        <v>217</v>
      </c>
      <c r="B166" s="21">
        <v>1</v>
      </c>
      <c r="C166" s="3" t="s">
        <v>218</v>
      </c>
      <c r="D166" s="4" t="s">
        <v>206</v>
      </c>
      <c r="E166" s="4" t="s">
        <v>445</v>
      </c>
      <c r="F166" s="4" t="b">
        <v>1</v>
      </c>
      <c r="G166" s="4" t="b">
        <v>1</v>
      </c>
      <c r="H166" s="4" t="b">
        <v>1</v>
      </c>
      <c r="I166" s="4" t="b">
        <v>0</v>
      </c>
      <c r="J166" s="4">
        <v>38</v>
      </c>
      <c r="K166" s="4">
        <v>39</v>
      </c>
      <c r="L166" s="71" t="b">
        <v>1</v>
      </c>
      <c r="M166" s="9" t="b">
        <v>0</v>
      </c>
      <c r="N166" s="9" t="b">
        <v>0</v>
      </c>
      <c r="O166" s="9"/>
      <c r="P166" s="9"/>
      <c r="Q166" s="9"/>
      <c r="R166" s="9"/>
      <c r="S166" s="42"/>
      <c r="T166" s="9"/>
      <c r="U166" s="9"/>
      <c r="V166" s="9"/>
      <c r="W166" s="9"/>
      <c r="X166" s="9"/>
      <c r="Y166" s="9"/>
      <c r="Z166" s="17" t="b">
        <v>1</v>
      </c>
      <c r="AA166" s="4" t="b">
        <v>0</v>
      </c>
      <c r="AB166" s="4" t="b">
        <v>0</v>
      </c>
      <c r="AC166" s="9"/>
      <c r="AD166" s="9"/>
      <c r="AE166" s="9"/>
      <c r="AF166" s="9"/>
    </row>
    <row r="167" spans="1:32" s="4" customFormat="1" x14ac:dyDescent="0.2">
      <c r="A167" s="3" t="s">
        <v>219</v>
      </c>
      <c r="B167" s="21">
        <v>1</v>
      </c>
      <c r="C167" s="3" t="s">
        <v>220</v>
      </c>
      <c r="D167" s="4" t="s">
        <v>206</v>
      </c>
      <c r="E167" s="4" t="s">
        <v>448</v>
      </c>
      <c r="F167" s="4" t="b">
        <v>1</v>
      </c>
      <c r="G167" s="4" t="b">
        <v>1</v>
      </c>
      <c r="H167" s="4" t="b">
        <v>0</v>
      </c>
      <c r="I167" s="4" t="b">
        <v>0</v>
      </c>
      <c r="J167" s="4">
        <v>20</v>
      </c>
      <c r="K167" s="4">
        <v>21</v>
      </c>
      <c r="L167" s="71" t="s">
        <v>480</v>
      </c>
      <c r="M167" s="9" t="b">
        <v>0</v>
      </c>
      <c r="N167" s="9"/>
      <c r="O167" s="9"/>
      <c r="P167" s="9"/>
      <c r="Q167" s="9"/>
      <c r="R167" s="9"/>
      <c r="S167" s="42"/>
      <c r="T167" s="9"/>
      <c r="U167" s="9"/>
      <c r="V167" s="9"/>
      <c r="W167" s="9"/>
      <c r="X167" s="9"/>
      <c r="Y167" s="9"/>
      <c r="Z167" s="17"/>
      <c r="AC167" s="9"/>
      <c r="AD167" s="9"/>
      <c r="AE167" s="9"/>
      <c r="AF167" s="9"/>
    </row>
    <row r="168" spans="1:32" s="4" customFormat="1" x14ac:dyDescent="0.2">
      <c r="A168" s="3" t="s">
        <v>221</v>
      </c>
      <c r="B168" s="21">
        <v>1</v>
      </c>
      <c r="C168" s="3" t="s">
        <v>222</v>
      </c>
      <c r="D168" s="4" t="s">
        <v>206</v>
      </c>
      <c r="E168" s="4" t="s">
        <v>454</v>
      </c>
      <c r="F168" s="4" t="b">
        <v>0</v>
      </c>
      <c r="G168" s="4" t="b">
        <v>0</v>
      </c>
      <c r="H168" s="4" t="b">
        <v>0</v>
      </c>
      <c r="I168" s="4" t="b">
        <v>0</v>
      </c>
      <c r="J168" s="4">
        <v>32</v>
      </c>
      <c r="K168" s="4">
        <v>33</v>
      </c>
      <c r="L168" s="71" t="b">
        <v>1</v>
      </c>
      <c r="M168" s="9" t="b">
        <v>0</v>
      </c>
      <c r="N168" s="9" t="b">
        <v>0</v>
      </c>
      <c r="O168" s="9"/>
      <c r="P168" s="9"/>
      <c r="Q168" s="9"/>
      <c r="R168" s="9"/>
      <c r="S168" s="42"/>
      <c r="T168" s="9"/>
      <c r="U168" s="9"/>
      <c r="V168" s="9"/>
      <c r="W168" s="9"/>
      <c r="X168" s="9"/>
      <c r="Y168" s="9"/>
      <c r="Z168" s="17" t="b">
        <v>1</v>
      </c>
      <c r="AA168" s="4" t="b">
        <v>0</v>
      </c>
      <c r="AB168" s="4" t="b">
        <v>0</v>
      </c>
      <c r="AC168" s="9"/>
      <c r="AD168" s="9"/>
      <c r="AE168" s="9"/>
      <c r="AF168" s="9"/>
    </row>
    <row r="169" spans="1:32" s="4" customFormat="1" x14ac:dyDescent="0.2">
      <c r="A169" s="3" t="s">
        <v>223</v>
      </c>
      <c r="B169" s="21">
        <v>1</v>
      </c>
      <c r="C169" s="3" t="s">
        <v>224</v>
      </c>
      <c r="D169" s="4" t="s">
        <v>206</v>
      </c>
      <c r="E169" s="4" t="s">
        <v>437</v>
      </c>
      <c r="F169" s="4" t="b">
        <v>1</v>
      </c>
      <c r="G169" s="4" t="b">
        <v>1</v>
      </c>
      <c r="H169" s="4" t="b">
        <v>0</v>
      </c>
      <c r="I169" s="4" t="b">
        <v>0</v>
      </c>
      <c r="J169" s="4">
        <v>34</v>
      </c>
      <c r="K169" s="4">
        <v>35</v>
      </c>
      <c r="L169" s="71" t="b">
        <v>1</v>
      </c>
      <c r="M169" s="9" t="b">
        <v>0</v>
      </c>
      <c r="N169" s="9" t="b">
        <v>0</v>
      </c>
      <c r="O169" s="9"/>
      <c r="P169" s="9"/>
      <c r="Q169" s="9"/>
      <c r="R169" s="9"/>
      <c r="S169" s="42"/>
      <c r="T169" s="9"/>
      <c r="U169" s="9"/>
      <c r="V169" s="9"/>
      <c r="W169" s="9"/>
      <c r="X169" s="9"/>
      <c r="Y169" s="9"/>
      <c r="Z169" s="17" t="b">
        <v>1</v>
      </c>
      <c r="AA169" s="4" t="b">
        <v>1</v>
      </c>
      <c r="AB169" s="4" t="b">
        <v>0</v>
      </c>
      <c r="AC169" s="9"/>
      <c r="AD169" s="9"/>
      <c r="AE169" s="9"/>
      <c r="AF169" s="9"/>
    </row>
    <row r="170" spans="1:32" s="4" customFormat="1" x14ac:dyDescent="0.2">
      <c r="A170" s="3" t="s">
        <v>225</v>
      </c>
      <c r="B170" s="21">
        <v>1</v>
      </c>
      <c r="C170" s="3" t="s">
        <v>226</v>
      </c>
      <c r="D170" s="4" t="s">
        <v>206</v>
      </c>
      <c r="E170" s="4" t="s">
        <v>455</v>
      </c>
      <c r="F170" s="4" t="b">
        <v>1</v>
      </c>
      <c r="G170" s="4" t="b">
        <v>1</v>
      </c>
      <c r="H170" s="4" t="b">
        <v>1</v>
      </c>
      <c r="I170" s="11" t="b">
        <v>0</v>
      </c>
      <c r="J170" s="4">
        <v>44</v>
      </c>
      <c r="K170" s="4">
        <v>45</v>
      </c>
      <c r="L170" s="71" t="b">
        <v>1</v>
      </c>
      <c r="M170" s="9" t="b">
        <v>1</v>
      </c>
      <c r="N170" s="9" t="b">
        <v>1</v>
      </c>
      <c r="O170" s="9"/>
      <c r="P170" s="9"/>
      <c r="Q170" s="9"/>
      <c r="R170" s="9"/>
      <c r="S170" s="42"/>
      <c r="T170" s="9"/>
      <c r="U170" s="9"/>
      <c r="V170" s="9"/>
      <c r="W170" s="9"/>
      <c r="X170" s="9"/>
      <c r="Y170" s="9"/>
      <c r="Z170" s="17" t="b">
        <v>1</v>
      </c>
      <c r="AA170" s="4" t="b">
        <v>1</v>
      </c>
      <c r="AB170" s="4" t="b">
        <v>1</v>
      </c>
      <c r="AC170" s="9"/>
      <c r="AD170" s="9"/>
      <c r="AE170" s="9"/>
      <c r="AF170" s="9"/>
    </row>
    <row r="171" spans="1:32" s="4" customFormat="1" x14ac:dyDescent="0.2">
      <c r="A171" s="3" t="s">
        <v>227</v>
      </c>
      <c r="B171" s="21">
        <v>1</v>
      </c>
      <c r="C171" s="3" t="s">
        <v>228</v>
      </c>
      <c r="D171" s="4" t="s">
        <v>206</v>
      </c>
      <c r="E171" s="4" t="s">
        <v>453</v>
      </c>
      <c r="F171" s="4" t="b">
        <v>0</v>
      </c>
      <c r="G171" s="4" t="b">
        <v>0</v>
      </c>
      <c r="H171" s="4" t="b">
        <v>1</v>
      </c>
      <c r="I171" s="11" t="b">
        <v>0</v>
      </c>
      <c r="J171" s="4">
        <v>30</v>
      </c>
      <c r="K171" s="4">
        <v>31</v>
      </c>
      <c r="L171" s="71" t="b">
        <v>1</v>
      </c>
      <c r="M171" s="9" t="b">
        <v>0</v>
      </c>
      <c r="N171" s="9" t="b">
        <v>1</v>
      </c>
      <c r="O171" s="9"/>
      <c r="P171" s="9"/>
      <c r="Q171" s="9"/>
      <c r="R171" s="9"/>
      <c r="S171" s="42"/>
      <c r="T171" s="9"/>
      <c r="U171" s="9"/>
      <c r="V171" s="9"/>
      <c r="W171" s="9"/>
      <c r="X171" s="9"/>
      <c r="Y171" s="9"/>
      <c r="Z171" s="17" t="b">
        <v>1</v>
      </c>
      <c r="AA171" s="4" t="b">
        <v>1</v>
      </c>
      <c r="AB171" s="4" t="b">
        <v>1</v>
      </c>
      <c r="AC171" s="9"/>
      <c r="AD171" s="9"/>
      <c r="AE171" s="9"/>
      <c r="AF171" s="9"/>
    </row>
    <row r="172" spans="1:32" s="4" customFormat="1" x14ac:dyDescent="0.2">
      <c r="A172" s="3" t="s">
        <v>229</v>
      </c>
      <c r="B172" s="21">
        <v>1</v>
      </c>
      <c r="C172" s="3" t="s">
        <v>230</v>
      </c>
      <c r="D172" s="4" t="s">
        <v>206</v>
      </c>
      <c r="E172" s="4" t="s">
        <v>458</v>
      </c>
      <c r="F172" s="4" t="b">
        <v>1</v>
      </c>
      <c r="G172" s="4" t="b">
        <v>1</v>
      </c>
      <c r="H172" s="4" t="b">
        <v>0</v>
      </c>
      <c r="I172" s="4" t="b">
        <v>0</v>
      </c>
      <c r="J172" s="4">
        <v>12</v>
      </c>
      <c r="K172" s="4">
        <v>13</v>
      </c>
      <c r="L172" s="71"/>
      <c r="M172" s="9"/>
      <c r="N172" s="9"/>
      <c r="O172" s="9"/>
      <c r="P172" s="9"/>
      <c r="Q172" s="9"/>
      <c r="R172" s="9"/>
      <c r="S172" s="42"/>
      <c r="T172" s="9"/>
      <c r="U172" s="9"/>
      <c r="V172" s="9"/>
      <c r="W172" s="9"/>
      <c r="X172" s="9"/>
      <c r="Y172" s="9"/>
      <c r="Z172" s="17"/>
      <c r="AC172" s="9"/>
      <c r="AD172" s="9"/>
      <c r="AE172" s="9"/>
      <c r="AF172" s="9"/>
    </row>
    <row r="173" spans="1:32" s="4" customFormat="1" x14ac:dyDescent="0.2">
      <c r="A173" s="3" t="s">
        <v>231</v>
      </c>
      <c r="B173" s="21">
        <v>1</v>
      </c>
      <c r="C173" s="3" t="s">
        <v>232</v>
      </c>
      <c r="D173" s="4" t="s">
        <v>206</v>
      </c>
      <c r="E173" s="4" t="s">
        <v>456</v>
      </c>
      <c r="F173" s="4" t="b">
        <v>0</v>
      </c>
      <c r="G173" s="4" t="b">
        <v>0</v>
      </c>
      <c r="H173" s="4" t="b">
        <v>1</v>
      </c>
      <c r="I173" s="11" t="b">
        <v>0</v>
      </c>
      <c r="J173" s="4">
        <v>46</v>
      </c>
      <c r="K173" s="4">
        <v>47</v>
      </c>
      <c r="L173" s="71" t="b">
        <v>1</v>
      </c>
      <c r="M173" s="9" t="b">
        <v>1</v>
      </c>
      <c r="N173" s="9" t="b">
        <v>1</v>
      </c>
      <c r="O173" s="9"/>
      <c r="P173" s="9"/>
      <c r="Q173" s="9"/>
      <c r="R173" s="9"/>
      <c r="S173" s="42"/>
      <c r="T173" s="9"/>
      <c r="U173" s="9"/>
      <c r="V173" s="9"/>
      <c r="W173" s="9"/>
      <c r="X173" s="9"/>
      <c r="Y173" s="9"/>
      <c r="Z173" s="17"/>
      <c r="AC173" s="9"/>
      <c r="AD173" s="9"/>
      <c r="AE173" s="9"/>
      <c r="AF173" s="9"/>
    </row>
    <row r="174" spans="1:32" s="4" customFormat="1" x14ac:dyDescent="0.2">
      <c r="A174" s="3" t="s">
        <v>233</v>
      </c>
      <c r="B174" s="21">
        <v>1</v>
      </c>
      <c r="C174" s="3" t="s">
        <v>234</v>
      </c>
      <c r="D174" s="4" t="s">
        <v>206</v>
      </c>
      <c r="E174" s="4" t="s">
        <v>457</v>
      </c>
      <c r="F174" s="4" t="b">
        <v>1</v>
      </c>
      <c r="G174" s="4" t="b">
        <v>1</v>
      </c>
      <c r="H174" s="4" t="b">
        <v>1</v>
      </c>
      <c r="I174" s="11" t="b">
        <v>0</v>
      </c>
      <c r="J174" s="4">
        <v>10</v>
      </c>
      <c r="K174" s="4">
        <v>11</v>
      </c>
      <c r="L174" s="71"/>
      <c r="M174" s="9"/>
      <c r="N174" s="9"/>
      <c r="O174" s="9"/>
      <c r="P174" s="9"/>
      <c r="Q174" s="9"/>
      <c r="R174" s="9"/>
      <c r="S174" s="42"/>
      <c r="T174" s="9"/>
      <c r="U174" s="9"/>
      <c r="V174" s="9"/>
      <c r="W174" s="9"/>
      <c r="X174" s="9"/>
      <c r="Y174" s="9"/>
      <c r="Z174" s="17"/>
      <c r="AC174" s="9"/>
      <c r="AD174" s="9"/>
      <c r="AE174" s="9"/>
      <c r="AF174" s="9"/>
    </row>
    <row r="175" spans="1:32" s="4" customFormat="1" x14ac:dyDescent="0.2">
      <c r="A175" s="3" t="s">
        <v>235</v>
      </c>
      <c r="B175" s="21">
        <v>1</v>
      </c>
      <c r="C175" s="3" t="s">
        <v>236</v>
      </c>
      <c r="D175" s="4" t="s">
        <v>206</v>
      </c>
      <c r="E175" s="4" t="s">
        <v>452</v>
      </c>
      <c r="F175" s="4" t="b">
        <v>1</v>
      </c>
      <c r="G175" s="4" t="b">
        <v>1</v>
      </c>
      <c r="H175" s="4" t="b">
        <v>1</v>
      </c>
      <c r="I175" s="11" t="b">
        <v>0</v>
      </c>
      <c r="J175" s="4">
        <v>28</v>
      </c>
      <c r="K175" s="4">
        <v>29</v>
      </c>
      <c r="L175" s="71" t="b">
        <v>1</v>
      </c>
      <c r="M175" s="9" t="b">
        <v>1</v>
      </c>
      <c r="N175" s="9" t="b">
        <v>1</v>
      </c>
      <c r="O175" s="9"/>
      <c r="P175" s="9"/>
      <c r="Q175" s="9"/>
      <c r="R175" s="9"/>
      <c r="S175" s="42" t="b">
        <v>1</v>
      </c>
      <c r="T175" s="9" t="b">
        <v>0</v>
      </c>
      <c r="U175" s="9" t="b">
        <v>0</v>
      </c>
      <c r="V175" s="9"/>
      <c r="W175" s="9"/>
      <c r="X175" s="9"/>
      <c r="Y175" s="9"/>
      <c r="Z175" s="17" t="b">
        <v>1</v>
      </c>
      <c r="AA175" s="4" t="b">
        <v>0</v>
      </c>
      <c r="AB175" s="4" t="b">
        <v>0</v>
      </c>
      <c r="AC175" s="9"/>
      <c r="AD175" s="9"/>
      <c r="AE175" s="9"/>
      <c r="AF175" s="9"/>
    </row>
    <row r="176" spans="1:32" x14ac:dyDescent="0.2">
      <c r="A176" s="2" t="s">
        <v>237</v>
      </c>
      <c r="B176" s="20">
        <v>1</v>
      </c>
      <c r="C176" s="2" t="s">
        <v>238</v>
      </c>
      <c r="D176" t="s">
        <v>206</v>
      </c>
      <c r="E176" t="s">
        <v>459</v>
      </c>
      <c r="F176" t="b">
        <v>1</v>
      </c>
      <c r="G176" t="b">
        <v>1</v>
      </c>
      <c r="H176" t="b">
        <v>1</v>
      </c>
      <c r="I176" t="b">
        <v>0</v>
      </c>
      <c r="J176">
        <v>0</v>
      </c>
      <c r="K176">
        <v>1</v>
      </c>
    </row>
    <row r="177" spans="1:32" s="4" customFormat="1" x14ac:dyDescent="0.2">
      <c r="A177" s="3" t="s">
        <v>237</v>
      </c>
      <c r="B177" s="21">
        <v>2</v>
      </c>
      <c r="C177" s="3" t="s">
        <v>238</v>
      </c>
      <c r="D177" s="4" t="s">
        <v>206</v>
      </c>
      <c r="E177" s="4" t="s">
        <v>460</v>
      </c>
      <c r="F177" s="4" t="b">
        <v>1</v>
      </c>
      <c r="G177" s="4" t="b">
        <v>1</v>
      </c>
      <c r="H177" s="4" t="b">
        <v>1</v>
      </c>
      <c r="I177" s="4" t="b">
        <v>0</v>
      </c>
      <c r="J177" s="4">
        <v>2</v>
      </c>
      <c r="K177" s="4">
        <v>3</v>
      </c>
      <c r="L177" s="71"/>
      <c r="M177" s="9"/>
      <c r="N177" s="9"/>
      <c r="O177" s="9"/>
      <c r="P177" s="9"/>
      <c r="Q177" s="9"/>
      <c r="R177" s="9"/>
      <c r="S177" s="42"/>
      <c r="T177" s="9"/>
      <c r="U177" s="9"/>
      <c r="V177" s="9"/>
      <c r="W177" s="9"/>
      <c r="X177" s="9"/>
      <c r="Y177" s="9"/>
      <c r="Z177" s="17"/>
      <c r="AC177" s="9"/>
      <c r="AD177" s="9"/>
      <c r="AE177" s="9"/>
      <c r="AF177" s="9"/>
    </row>
    <row r="178" spans="1:32" s="4" customFormat="1" x14ac:dyDescent="0.2">
      <c r="A178" s="3" t="s">
        <v>239</v>
      </c>
      <c r="B178" s="21">
        <v>1</v>
      </c>
      <c r="C178" s="3" t="s">
        <v>240</v>
      </c>
      <c r="D178" s="4" t="s">
        <v>206</v>
      </c>
      <c r="E178" s="4" t="s">
        <v>461</v>
      </c>
      <c r="F178" s="4" t="b">
        <v>1</v>
      </c>
      <c r="G178" s="4" t="b">
        <v>1</v>
      </c>
      <c r="H178" s="4" t="b">
        <v>0</v>
      </c>
      <c r="I178" s="4" t="b">
        <v>0</v>
      </c>
      <c r="J178" s="4">
        <v>8</v>
      </c>
      <c r="K178" s="4">
        <v>9</v>
      </c>
      <c r="L178" s="71" t="b">
        <v>1</v>
      </c>
      <c r="M178" s="9" t="b">
        <v>0</v>
      </c>
      <c r="N178" s="9" t="b">
        <v>0</v>
      </c>
      <c r="O178" s="9"/>
      <c r="P178" s="9"/>
      <c r="Q178" s="9"/>
      <c r="R178" s="9"/>
      <c r="S178" s="42"/>
      <c r="T178" s="9"/>
      <c r="U178" s="9"/>
      <c r="V178" s="9"/>
      <c r="W178" s="9"/>
      <c r="X178" s="9"/>
      <c r="Y178" s="9"/>
      <c r="Z178" s="17"/>
      <c r="AC178" s="9"/>
      <c r="AD178" s="9"/>
      <c r="AE178" s="9"/>
      <c r="AF178" s="9"/>
    </row>
    <row r="179" spans="1:32" s="4" customFormat="1" x14ac:dyDescent="0.2">
      <c r="A179" s="3" t="s">
        <v>241</v>
      </c>
      <c r="B179" s="21">
        <v>1</v>
      </c>
      <c r="C179" s="3" t="s">
        <v>242</v>
      </c>
      <c r="D179" s="4" t="s">
        <v>206</v>
      </c>
      <c r="E179" s="4" t="s">
        <v>462</v>
      </c>
      <c r="F179" s="4" t="b">
        <v>1</v>
      </c>
      <c r="G179" s="4" t="b">
        <v>1</v>
      </c>
      <c r="H179" s="4" t="b">
        <v>1</v>
      </c>
      <c r="I179" s="4" t="b">
        <v>0</v>
      </c>
      <c r="J179" s="4">
        <v>22</v>
      </c>
      <c r="K179" s="4">
        <v>23</v>
      </c>
      <c r="L179" s="71"/>
      <c r="M179" s="9"/>
      <c r="N179" s="9"/>
      <c r="O179" s="9"/>
      <c r="P179" s="9"/>
      <c r="Q179" s="9"/>
      <c r="R179" s="9"/>
      <c r="S179" s="42"/>
      <c r="T179" s="9"/>
      <c r="U179" s="9"/>
      <c r="V179" s="9"/>
      <c r="W179" s="9"/>
      <c r="X179" s="9"/>
      <c r="Y179" s="9"/>
      <c r="Z179" s="17"/>
      <c r="AC179" s="9"/>
      <c r="AD179" s="9"/>
      <c r="AE179" s="9"/>
      <c r="AF179" s="9"/>
    </row>
    <row r="180" spans="1:32" x14ac:dyDescent="0.2">
      <c r="A180" s="2" t="s">
        <v>243</v>
      </c>
      <c r="B180" s="20">
        <v>1</v>
      </c>
      <c r="C180" s="2" t="s">
        <v>244</v>
      </c>
      <c r="D180" t="s">
        <v>206</v>
      </c>
      <c r="E180" t="s">
        <v>463</v>
      </c>
      <c r="F180" t="b">
        <v>1</v>
      </c>
      <c r="G180" t="b">
        <v>1</v>
      </c>
      <c r="H180" t="b">
        <v>0</v>
      </c>
      <c r="I180" t="b">
        <v>0</v>
      </c>
      <c r="J180">
        <v>4</v>
      </c>
      <c r="K180">
        <v>5</v>
      </c>
    </row>
    <row r="181" spans="1:32" s="4" customFormat="1" x14ac:dyDescent="0.2">
      <c r="A181" s="3" t="s">
        <v>243</v>
      </c>
      <c r="B181" s="21">
        <v>2</v>
      </c>
      <c r="C181" s="3" t="s">
        <v>244</v>
      </c>
      <c r="D181" s="4" t="s">
        <v>206</v>
      </c>
      <c r="E181" s="4" t="s">
        <v>464</v>
      </c>
      <c r="F181" s="4" t="b">
        <v>1</v>
      </c>
      <c r="G181" s="4" t="b">
        <v>1</v>
      </c>
      <c r="H181" s="4" t="b">
        <v>0</v>
      </c>
      <c r="I181" s="4" t="b">
        <v>0</v>
      </c>
      <c r="J181" s="4">
        <v>6</v>
      </c>
      <c r="K181" s="4">
        <v>7</v>
      </c>
      <c r="L181" s="71"/>
      <c r="M181" s="9"/>
      <c r="N181" s="9"/>
      <c r="O181" s="9"/>
      <c r="P181" s="9"/>
      <c r="Q181" s="9"/>
      <c r="R181" s="9"/>
      <c r="S181" s="42"/>
      <c r="T181" s="9"/>
      <c r="U181" s="9"/>
      <c r="V181" s="9"/>
      <c r="W181" s="9"/>
      <c r="X181" s="9"/>
      <c r="Y181" s="9"/>
      <c r="Z181" s="17"/>
      <c r="AC181" s="9"/>
      <c r="AD181" s="9"/>
      <c r="AE181" s="9"/>
      <c r="AF181" s="9"/>
    </row>
    <row r="182" spans="1:32" x14ac:dyDescent="0.2">
      <c r="A182" s="2" t="s">
        <v>245</v>
      </c>
      <c r="B182" s="20">
        <v>1</v>
      </c>
      <c r="C182" s="2" t="s">
        <v>246</v>
      </c>
      <c r="D182" t="s">
        <v>206</v>
      </c>
      <c r="E182" t="s">
        <v>446</v>
      </c>
      <c r="F182" t="b">
        <v>1</v>
      </c>
      <c r="G182" t="b">
        <v>1</v>
      </c>
      <c r="H182" t="b">
        <v>0</v>
      </c>
      <c r="I182" t="b">
        <v>0</v>
      </c>
      <c r="J182">
        <v>40</v>
      </c>
      <c r="K182">
        <v>41</v>
      </c>
      <c r="L182" s="70" t="b">
        <v>1</v>
      </c>
      <c r="M182" s="8" t="b">
        <v>0</v>
      </c>
      <c r="N182" s="8" t="b">
        <v>0</v>
      </c>
      <c r="Z182" s="16" t="b">
        <v>1</v>
      </c>
      <c r="AA182" t="b">
        <v>0</v>
      </c>
      <c r="AB182" t="b">
        <v>0</v>
      </c>
    </row>
    <row r="183" spans="1:32" s="4" customFormat="1" x14ac:dyDescent="0.2">
      <c r="A183" s="3" t="s">
        <v>245</v>
      </c>
      <c r="B183" s="21">
        <v>2</v>
      </c>
      <c r="C183" s="3" t="s">
        <v>246</v>
      </c>
      <c r="D183" s="4" t="s">
        <v>206</v>
      </c>
      <c r="E183" s="4" t="s">
        <v>447</v>
      </c>
      <c r="F183" s="4" t="b">
        <v>1</v>
      </c>
      <c r="G183" s="4" t="b">
        <v>1</v>
      </c>
      <c r="H183" s="4" t="b">
        <v>0</v>
      </c>
      <c r="I183" s="4" t="b">
        <v>0</v>
      </c>
      <c r="J183" s="4">
        <v>42</v>
      </c>
      <c r="K183" s="4">
        <v>43</v>
      </c>
      <c r="L183" s="71" t="b">
        <v>1</v>
      </c>
      <c r="M183" s="9" t="b">
        <v>1</v>
      </c>
      <c r="N183" s="9" t="b">
        <v>1</v>
      </c>
      <c r="O183" s="9"/>
      <c r="P183" s="9"/>
      <c r="Q183" s="9"/>
      <c r="R183" s="9"/>
      <c r="S183" s="42"/>
      <c r="T183" s="9"/>
      <c r="U183" s="9"/>
      <c r="V183" s="9"/>
      <c r="W183" s="9"/>
      <c r="X183" s="9"/>
      <c r="Y183" s="9"/>
      <c r="Z183" s="17" t="b">
        <v>1</v>
      </c>
      <c r="AA183" s="4" t="b">
        <v>0</v>
      </c>
      <c r="AB183" s="4" t="b">
        <v>0</v>
      </c>
      <c r="AC183" s="9"/>
      <c r="AD183" s="9"/>
      <c r="AE183" s="9"/>
      <c r="AF183" s="9"/>
    </row>
    <row r="184" spans="1:32" x14ac:dyDescent="0.2">
      <c r="A184" s="7" t="s">
        <v>247</v>
      </c>
      <c r="B184" s="24">
        <v>1</v>
      </c>
      <c r="C184" s="7" t="s">
        <v>248</v>
      </c>
      <c r="D184" t="s">
        <v>206</v>
      </c>
      <c r="E184" t="s">
        <v>449</v>
      </c>
      <c r="F184" t="b">
        <v>0</v>
      </c>
      <c r="G184" t="b">
        <v>0</v>
      </c>
      <c r="H184" t="b">
        <v>0</v>
      </c>
      <c r="I184" t="b">
        <v>0</v>
      </c>
      <c r="J184">
        <v>14</v>
      </c>
      <c r="K184">
        <v>15</v>
      </c>
    </row>
    <row r="185" spans="1:32" x14ac:dyDescent="0.2">
      <c r="A185" s="7" t="s">
        <v>247</v>
      </c>
      <c r="B185" s="24">
        <v>2</v>
      </c>
      <c r="C185" s="7" t="s">
        <v>248</v>
      </c>
      <c r="D185" t="s">
        <v>206</v>
      </c>
      <c r="E185" t="s">
        <v>450</v>
      </c>
      <c r="F185" t="b">
        <v>0</v>
      </c>
      <c r="G185" t="b">
        <v>0</v>
      </c>
      <c r="H185" t="b">
        <v>0</v>
      </c>
      <c r="I185" t="b">
        <v>0</v>
      </c>
      <c r="J185">
        <v>16</v>
      </c>
      <c r="K185">
        <v>17</v>
      </c>
      <c r="L185" s="70" t="b">
        <v>1</v>
      </c>
      <c r="M185" s="8" t="b">
        <v>1</v>
      </c>
      <c r="N185" s="8" t="b">
        <v>1</v>
      </c>
    </row>
    <row r="186" spans="1:32" s="55" customFormat="1" ht="17" thickBot="1" x14ac:dyDescent="0.25">
      <c r="A186" s="53" t="s">
        <v>247</v>
      </c>
      <c r="B186" s="54">
        <v>3</v>
      </c>
      <c r="C186" s="53" t="s">
        <v>248</v>
      </c>
      <c r="D186" s="55" t="s">
        <v>206</v>
      </c>
      <c r="E186" s="55" t="s">
        <v>451</v>
      </c>
      <c r="F186" s="55" t="b">
        <v>0</v>
      </c>
      <c r="G186" s="55" t="b">
        <v>0</v>
      </c>
      <c r="H186" s="55" t="b">
        <v>0</v>
      </c>
      <c r="I186" s="55" t="b">
        <v>0</v>
      </c>
      <c r="J186" s="55">
        <v>18</v>
      </c>
      <c r="K186" s="55">
        <v>19</v>
      </c>
      <c r="L186" s="74"/>
      <c r="M186" s="57"/>
      <c r="N186" s="57"/>
      <c r="O186" s="57"/>
      <c r="P186" s="57"/>
      <c r="Q186" s="57"/>
      <c r="R186" s="57"/>
      <c r="S186" s="56"/>
      <c r="T186" s="57"/>
      <c r="U186" s="57"/>
      <c r="V186" s="57"/>
      <c r="W186" s="57"/>
      <c r="X186" s="57"/>
      <c r="Y186" s="57"/>
      <c r="Z186" s="58"/>
      <c r="AC186" s="57"/>
      <c r="AD186" s="57"/>
      <c r="AE186" s="57"/>
      <c r="AF186" s="57"/>
    </row>
    <row r="187" spans="1:32" s="6" customFormat="1" x14ac:dyDescent="0.2">
      <c r="A187" s="5" t="s">
        <v>249</v>
      </c>
      <c r="B187" s="22"/>
      <c r="C187" s="5" t="s">
        <v>250</v>
      </c>
      <c r="D187" s="6" t="s">
        <v>251</v>
      </c>
      <c r="F187"/>
      <c r="G187"/>
      <c r="H187"/>
      <c r="I187"/>
      <c r="L187" s="84"/>
      <c r="M187" s="30"/>
      <c r="N187" s="30"/>
      <c r="O187" s="30"/>
      <c r="P187" s="30"/>
      <c r="Q187" s="30"/>
      <c r="R187" s="30"/>
      <c r="S187" s="46"/>
      <c r="T187" s="30"/>
      <c r="U187" s="30"/>
      <c r="V187" s="30"/>
      <c r="W187" s="30"/>
      <c r="X187" s="30"/>
      <c r="Y187" s="30"/>
      <c r="Z187" s="38"/>
      <c r="AC187" s="30"/>
      <c r="AD187" s="30"/>
      <c r="AE187" s="30"/>
      <c r="AF187" s="30"/>
    </row>
    <row r="188" spans="1:32" s="6" customFormat="1" x14ac:dyDescent="0.2">
      <c r="A188" s="5" t="s">
        <v>252</v>
      </c>
      <c r="B188" s="22"/>
      <c r="C188" s="5" t="s">
        <v>253</v>
      </c>
      <c r="D188" s="6" t="s">
        <v>251</v>
      </c>
      <c r="F188"/>
      <c r="G188"/>
      <c r="H188"/>
      <c r="I188"/>
      <c r="L188" s="84"/>
      <c r="M188" s="30"/>
      <c r="N188" s="30"/>
      <c r="O188" s="30"/>
      <c r="P188" s="30"/>
      <c r="Q188" s="30"/>
      <c r="R188" s="30"/>
      <c r="S188" s="46"/>
      <c r="T188" s="30"/>
      <c r="U188" s="30"/>
      <c r="V188" s="30"/>
      <c r="W188" s="30"/>
      <c r="X188" s="30"/>
      <c r="Y188" s="30"/>
      <c r="Z188" s="38"/>
      <c r="AC188" s="30"/>
      <c r="AD188" s="30"/>
      <c r="AE188" s="30"/>
      <c r="AF188" s="30"/>
    </row>
    <row r="189" spans="1:32" s="6" customFormat="1" x14ac:dyDescent="0.2">
      <c r="A189" s="5" t="s">
        <v>254</v>
      </c>
      <c r="B189" s="22"/>
      <c r="C189" s="5" t="s">
        <v>255</v>
      </c>
      <c r="D189" s="6" t="s">
        <v>251</v>
      </c>
      <c r="F189"/>
      <c r="G189"/>
      <c r="H189"/>
      <c r="I189"/>
      <c r="L189" s="84"/>
      <c r="M189" s="30"/>
      <c r="N189" s="30"/>
      <c r="O189" s="30"/>
      <c r="P189" s="30"/>
      <c r="Q189" s="30"/>
      <c r="R189" s="30"/>
      <c r="S189" s="46"/>
      <c r="T189" s="30"/>
      <c r="U189" s="30"/>
      <c r="V189" s="30"/>
      <c r="W189" s="30"/>
      <c r="X189" s="30"/>
      <c r="Y189" s="30"/>
      <c r="Z189" s="38"/>
      <c r="AC189" s="30"/>
      <c r="AD189" s="30"/>
      <c r="AE189" s="30"/>
      <c r="AF189" s="30"/>
    </row>
    <row r="190" spans="1:32" s="6" customFormat="1" x14ac:dyDescent="0.2">
      <c r="A190" s="5" t="s">
        <v>256</v>
      </c>
      <c r="B190" s="22"/>
      <c r="C190" s="5" t="s">
        <v>257</v>
      </c>
      <c r="D190" s="6" t="s">
        <v>251</v>
      </c>
      <c r="F190"/>
      <c r="G190"/>
      <c r="H190"/>
      <c r="I190"/>
      <c r="L190" s="84"/>
      <c r="M190" s="30"/>
      <c r="N190" s="30"/>
      <c r="O190" s="30"/>
      <c r="P190" s="30"/>
      <c r="Q190" s="30"/>
      <c r="R190" s="30"/>
      <c r="S190" s="46"/>
      <c r="T190" s="30"/>
      <c r="U190" s="30"/>
      <c r="V190" s="30"/>
      <c r="W190" s="30"/>
      <c r="X190" s="30"/>
      <c r="Y190" s="30"/>
      <c r="Z190" s="38"/>
      <c r="AC190" s="30"/>
      <c r="AD190" s="30"/>
      <c r="AE190" s="30"/>
      <c r="AF190" s="30"/>
    </row>
    <row r="191" spans="1:32" s="6" customFormat="1" x14ac:dyDescent="0.2">
      <c r="A191" s="5" t="s">
        <v>258</v>
      </c>
      <c r="B191" s="22"/>
      <c r="C191" s="5" t="s">
        <v>259</v>
      </c>
      <c r="D191" s="6" t="s">
        <v>251</v>
      </c>
      <c r="F191"/>
      <c r="G191"/>
      <c r="H191"/>
      <c r="I191"/>
      <c r="L191" s="84"/>
      <c r="M191" s="30"/>
      <c r="N191" s="30"/>
      <c r="O191" s="30"/>
      <c r="P191" s="30"/>
      <c r="Q191" s="30"/>
      <c r="R191" s="30"/>
      <c r="S191" s="46"/>
      <c r="T191" s="30"/>
      <c r="U191" s="30"/>
      <c r="V191" s="30"/>
      <c r="W191" s="30"/>
      <c r="X191" s="30"/>
      <c r="Y191" s="30"/>
      <c r="Z191" s="38"/>
      <c r="AC191" s="30"/>
      <c r="AD191" s="30"/>
      <c r="AE191" s="30"/>
      <c r="AF191" s="30"/>
    </row>
    <row r="192" spans="1:32" s="6" customFormat="1" x14ac:dyDescent="0.2">
      <c r="A192" s="5" t="s">
        <v>260</v>
      </c>
      <c r="B192" s="22"/>
      <c r="C192" s="5" t="s">
        <v>261</v>
      </c>
      <c r="D192" s="6" t="s">
        <v>251</v>
      </c>
      <c r="F192"/>
      <c r="G192"/>
      <c r="H192"/>
      <c r="I192"/>
      <c r="L192" s="84"/>
      <c r="M192" s="30"/>
      <c r="N192" s="30"/>
      <c r="O192" s="30"/>
      <c r="P192" s="30"/>
      <c r="Q192" s="30"/>
      <c r="R192" s="30"/>
      <c r="S192" s="46"/>
      <c r="T192" s="30"/>
      <c r="U192" s="30"/>
      <c r="V192" s="30"/>
      <c r="W192" s="30"/>
      <c r="X192" s="30"/>
      <c r="Y192" s="30"/>
      <c r="Z192" s="38"/>
      <c r="AC192" s="30"/>
      <c r="AD192" s="30"/>
      <c r="AE192" s="30"/>
      <c r="AF192" s="30"/>
    </row>
    <row r="193" spans="1:32" s="6" customFormat="1" x14ac:dyDescent="0.2">
      <c r="A193" s="5" t="s">
        <v>262</v>
      </c>
      <c r="B193" s="22"/>
      <c r="C193" s="5" t="s">
        <v>263</v>
      </c>
      <c r="D193" s="6" t="s">
        <v>251</v>
      </c>
      <c r="F193"/>
      <c r="G193"/>
      <c r="H193"/>
      <c r="I193"/>
      <c r="L193" s="84"/>
      <c r="M193" s="30"/>
      <c r="N193" s="30"/>
      <c r="O193" s="30"/>
      <c r="P193" s="30"/>
      <c r="Q193" s="30"/>
      <c r="R193" s="30"/>
      <c r="S193" s="46"/>
      <c r="T193" s="30"/>
      <c r="U193" s="30"/>
      <c r="V193" s="30"/>
      <c r="W193" s="30"/>
      <c r="X193" s="30"/>
      <c r="Y193" s="30"/>
      <c r="Z193" s="38"/>
      <c r="AC193" s="30"/>
      <c r="AD193" s="30"/>
      <c r="AE193" s="30"/>
      <c r="AF193" s="30"/>
    </row>
    <row r="194" spans="1:32" s="6" customFormat="1" x14ac:dyDescent="0.2">
      <c r="A194" s="5" t="s">
        <v>264</v>
      </c>
      <c r="B194" s="22"/>
      <c r="C194" s="5" t="s">
        <v>265</v>
      </c>
      <c r="D194" s="6" t="s">
        <v>251</v>
      </c>
      <c r="F194"/>
      <c r="G194"/>
      <c r="H194"/>
      <c r="I194"/>
      <c r="L194" s="84"/>
      <c r="M194" s="30"/>
      <c r="N194" s="30"/>
      <c r="O194" s="30"/>
      <c r="P194" s="30"/>
      <c r="Q194" s="30"/>
      <c r="R194" s="30"/>
      <c r="S194" s="46"/>
      <c r="T194" s="30"/>
      <c r="U194" s="30"/>
      <c r="V194" s="30"/>
      <c r="W194" s="30"/>
      <c r="X194" s="30"/>
      <c r="Y194" s="30"/>
      <c r="Z194" s="38"/>
      <c r="AC194" s="30"/>
      <c r="AD194" s="30"/>
      <c r="AE194" s="30"/>
      <c r="AF194" s="30"/>
    </row>
    <row r="195" spans="1:32" s="6" customFormat="1" x14ac:dyDescent="0.2">
      <c r="A195" s="5" t="s">
        <v>266</v>
      </c>
      <c r="B195" s="22"/>
      <c r="C195" s="5" t="s">
        <v>267</v>
      </c>
      <c r="D195" s="6" t="s">
        <v>251</v>
      </c>
      <c r="F195"/>
      <c r="G195"/>
      <c r="H195"/>
      <c r="I195"/>
      <c r="L195" s="84"/>
      <c r="M195" s="30"/>
      <c r="N195" s="30"/>
      <c r="O195" s="30"/>
      <c r="P195" s="30"/>
      <c r="Q195" s="30"/>
      <c r="R195" s="30"/>
      <c r="S195" s="46"/>
      <c r="T195" s="30"/>
      <c r="U195" s="30"/>
      <c r="V195" s="30"/>
      <c r="W195" s="30"/>
      <c r="X195" s="30"/>
      <c r="Y195" s="30"/>
      <c r="Z195" s="38"/>
      <c r="AC195" s="30"/>
      <c r="AD195" s="30"/>
      <c r="AE195" s="30"/>
      <c r="AF195" s="30"/>
    </row>
    <row r="196" spans="1:32" s="6" customFormat="1" x14ac:dyDescent="0.2">
      <c r="A196" s="5" t="s">
        <v>268</v>
      </c>
      <c r="B196" s="22"/>
      <c r="C196" s="5" t="s">
        <v>269</v>
      </c>
      <c r="D196" s="6" t="s">
        <v>251</v>
      </c>
      <c r="F196"/>
      <c r="G196"/>
      <c r="H196"/>
      <c r="I196"/>
      <c r="L196" s="84"/>
      <c r="M196" s="30"/>
      <c r="N196" s="30"/>
      <c r="O196" s="30"/>
      <c r="P196" s="30"/>
      <c r="Q196" s="30"/>
      <c r="R196" s="30"/>
      <c r="S196" s="46"/>
      <c r="T196" s="30"/>
      <c r="U196" s="30"/>
      <c r="V196" s="30"/>
      <c r="W196" s="30"/>
      <c r="X196" s="30"/>
      <c r="Y196" s="30"/>
      <c r="Z196" s="38"/>
      <c r="AC196" s="30"/>
      <c r="AD196" s="30"/>
      <c r="AE196" s="30"/>
      <c r="AF196" s="30"/>
    </row>
    <row r="197" spans="1:32" s="6" customFormat="1" x14ac:dyDescent="0.2">
      <c r="A197" s="5" t="s">
        <v>270</v>
      </c>
      <c r="B197" s="22"/>
      <c r="C197" s="5" t="s">
        <v>271</v>
      </c>
      <c r="D197" s="6" t="s">
        <v>251</v>
      </c>
      <c r="F197"/>
      <c r="G197"/>
      <c r="H197"/>
      <c r="I197"/>
      <c r="L197" s="84"/>
      <c r="M197" s="30"/>
      <c r="N197" s="30"/>
      <c r="O197" s="30"/>
      <c r="P197" s="30"/>
      <c r="Q197" s="30"/>
      <c r="R197" s="30"/>
      <c r="S197" s="46"/>
      <c r="T197" s="30"/>
      <c r="U197" s="30"/>
      <c r="V197" s="30"/>
      <c r="W197" s="30"/>
      <c r="X197" s="30"/>
      <c r="Y197" s="30"/>
      <c r="Z197" s="38"/>
      <c r="AC197" s="30"/>
      <c r="AD197" s="30"/>
      <c r="AE197" s="30"/>
      <c r="AF197" s="30"/>
    </row>
    <row r="198" spans="1:32" s="6" customFormat="1" x14ac:dyDescent="0.2">
      <c r="A198" s="5" t="s">
        <v>272</v>
      </c>
      <c r="B198" s="22"/>
      <c r="C198" s="5" t="s">
        <v>273</v>
      </c>
      <c r="D198" s="6" t="s">
        <v>251</v>
      </c>
      <c r="F198"/>
      <c r="G198"/>
      <c r="H198"/>
      <c r="I198"/>
      <c r="L198" s="84"/>
      <c r="M198" s="30"/>
      <c r="N198" s="30"/>
      <c r="O198" s="30"/>
      <c r="P198" s="30"/>
      <c r="Q198" s="30"/>
      <c r="R198" s="30"/>
      <c r="S198" s="46"/>
      <c r="T198" s="30"/>
      <c r="U198" s="30"/>
      <c r="V198" s="30"/>
      <c r="W198" s="30"/>
      <c r="X198" s="30"/>
      <c r="Y198" s="30"/>
      <c r="Z198" s="38"/>
      <c r="AC198" s="30"/>
      <c r="AD198" s="30"/>
      <c r="AE198" s="30"/>
      <c r="AF198" s="30"/>
    </row>
    <row r="199" spans="1:32" s="6" customFormat="1" x14ac:dyDescent="0.2">
      <c r="A199" s="5" t="s">
        <v>274</v>
      </c>
      <c r="B199" s="22"/>
      <c r="C199" s="5" t="s">
        <v>275</v>
      </c>
      <c r="D199" s="6" t="s">
        <v>251</v>
      </c>
      <c r="F199"/>
      <c r="G199"/>
      <c r="H199"/>
      <c r="I199"/>
      <c r="L199" s="84"/>
      <c r="M199" s="30"/>
      <c r="N199" s="30"/>
      <c r="O199" s="30"/>
      <c r="P199" s="30"/>
      <c r="Q199" s="30"/>
      <c r="R199" s="30"/>
      <c r="S199" s="46"/>
      <c r="T199" s="30"/>
      <c r="U199" s="30"/>
      <c r="V199" s="30"/>
      <c r="W199" s="30"/>
      <c r="X199" s="30"/>
      <c r="Y199" s="30"/>
      <c r="Z199" s="38"/>
      <c r="AC199" s="30"/>
      <c r="AD199" s="30"/>
      <c r="AE199" s="30"/>
      <c r="AF199" s="30"/>
    </row>
    <row r="200" spans="1:32" s="6" customFormat="1" x14ac:dyDescent="0.2">
      <c r="A200" s="5" t="s">
        <v>276</v>
      </c>
      <c r="B200" s="22"/>
      <c r="C200" s="5" t="s">
        <v>277</v>
      </c>
      <c r="D200" s="6" t="s">
        <v>251</v>
      </c>
      <c r="F200"/>
      <c r="G200"/>
      <c r="H200"/>
      <c r="I200"/>
      <c r="L200" s="84"/>
      <c r="M200" s="30"/>
      <c r="N200" s="30"/>
      <c r="O200" s="30"/>
      <c r="P200" s="30"/>
      <c r="Q200" s="30"/>
      <c r="R200" s="30"/>
      <c r="S200" s="46"/>
      <c r="T200" s="30"/>
      <c r="U200" s="30"/>
      <c r="V200" s="30"/>
      <c r="W200" s="30"/>
      <c r="X200" s="30"/>
      <c r="Y200" s="30"/>
      <c r="Z200" s="38"/>
      <c r="AC200" s="30"/>
      <c r="AD200" s="30"/>
      <c r="AE200" s="30"/>
      <c r="AF200" s="30"/>
    </row>
    <row r="201" spans="1:32" s="6" customFormat="1" x14ac:dyDescent="0.2">
      <c r="A201" s="5" t="s">
        <v>278</v>
      </c>
      <c r="B201" s="22"/>
      <c r="C201" s="5" t="s">
        <v>279</v>
      </c>
      <c r="D201" s="6" t="s">
        <v>251</v>
      </c>
      <c r="F201"/>
      <c r="G201"/>
      <c r="H201"/>
      <c r="I201"/>
      <c r="L201" s="84"/>
      <c r="M201" s="30"/>
      <c r="N201" s="30"/>
      <c r="O201" s="30"/>
      <c r="P201" s="30"/>
      <c r="Q201" s="30"/>
      <c r="R201" s="30"/>
      <c r="S201" s="46"/>
      <c r="T201" s="30"/>
      <c r="U201" s="30"/>
      <c r="V201" s="30"/>
      <c r="W201" s="30"/>
      <c r="X201" s="30"/>
      <c r="Y201" s="30"/>
      <c r="Z201" s="38"/>
      <c r="AC201" s="30"/>
      <c r="AD201" s="30"/>
      <c r="AE201" s="30"/>
      <c r="AF201" s="30"/>
    </row>
    <row r="202" spans="1:32" s="6" customFormat="1" x14ac:dyDescent="0.2">
      <c r="A202" s="5" t="s">
        <v>280</v>
      </c>
      <c r="B202" s="22"/>
      <c r="C202" s="5" t="s">
        <v>281</v>
      </c>
      <c r="D202" s="6" t="s">
        <v>251</v>
      </c>
      <c r="F202"/>
      <c r="G202"/>
      <c r="H202"/>
      <c r="I202"/>
      <c r="L202" s="84"/>
      <c r="M202" s="30"/>
      <c r="N202" s="30"/>
      <c r="O202" s="30"/>
      <c r="P202" s="30"/>
      <c r="Q202" s="30"/>
      <c r="R202" s="30"/>
      <c r="S202" s="46"/>
      <c r="T202" s="30"/>
      <c r="U202" s="30"/>
      <c r="V202" s="30"/>
      <c r="W202" s="30"/>
      <c r="X202" s="30"/>
      <c r="Y202" s="30"/>
      <c r="Z202" s="38"/>
      <c r="AC202" s="30"/>
      <c r="AD202" s="30"/>
      <c r="AE202" s="30"/>
      <c r="AF202" s="30"/>
    </row>
    <row r="203" spans="1:32" s="6" customFormat="1" x14ac:dyDescent="0.2">
      <c r="A203" s="5" t="s">
        <v>282</v>
      </c>
      <c r="B203" s="22"/>
      <c r="C203" s="5" t="s">
        <v>283</v>
      </c>
      <c r="D203" s="6" t="s">
        <v>251</v>
      </c>
      <c r="F203"/>
      <c r="G203"/>
      <c r="H203"/>
      <c r="I203"/>
      <c r="L203" s="84"/>
      <c r="M203" s="30"/>
      <c r="N203" s="30"/>
      <c r="O203" s="30"/>
      <c r="P203" s="30"/>
      <c r="Q203" s="30"/>
      <c r="R203" s="30"/>
      <c r="S203" s="46"/>
      <c r="T203" s="30"/>
      <c r="U203" s="30"/>
      <c r="V203" s="30"/>
      <c r="W203" s="30"/>
      <c r="X203" s="30"/>
      <c r="Y203" s="30"/>
      <c r="Z203" s="38"/>
      <c r="AC203" s="30"/>
      <c r="AD203" s="30"/>
      <c r="AE203" s="30"/>
      <c r="AF203" s="30"/>
    </row>
    <row r="204" spans="1:32" s="6" customFormat="1" x14ac:dyDescent="0.2">
      <c r="A204" s="5" t="s">
        <v>284</v>
      </c>
      <c r="B204" s="22"/>
      <c r="C204" s="5" t="s">
        <v>285</v>
      </c>
      <c r="D204" s="6" t="s">
        <v>251</v>
      </c>
      <c r="F204"/>
      <c r="G204"/>
      <c r="H204"/>
      <c r="I204"/>
      <c r="L204" s="84"/>
      <c r="M204" s="30"/>
      <c r="N204" s="30"/>
      <c r="O204" s="30"/>
      <c r="P204" s="30"/>
      <c r="Q204" s="30"/>
      <c r="R204" s="30"/>
      <c r="S204" s="46"/>
      <c r="T204" s="30"/>
      <c r="U204" s="30"/>
      <c r="V204" s="30"/>
      <c r="W204" s="30"/>
      <c r="X204" s="30"/>
      <c r="Y204" s="30"/>
      <c r="Z204" s="38"/>
      <c r="AC204" s="30"/>
      <c r="AD204" s="30"/>
      <c r="AE204" s="30"/>
      <c r="AF204" s="30"/>
    </row>
    <row r="205" spans="1:32" s="6" customFormat="1" x14ac:dyDescent="0.2">
      <c r="A205" s="5" t="s">
        <v>286</v>
      </c>
      <c r="B205" s="22"/>
      <c r="C205" s="5" t="s">
        <v>287</v>
      </c>
      <c r="D205" s="6" t="s">
        <v>251</v>
      </c>
      <c r="F205"/>
      <c r="G205"/>
      <c r="H205"/>
      <c r="I205"/>
      <c r="L205" s="84"/>
      <c r="M205" s="30"/>
      <c r="N205" s="30"/>
      <c r="O205" s="30"/>
      <c r="P205" s="30"/>
      <c r="Q205" s="30"/>
      <c r="R205" s="30"/>
      <c r="S205" s="46"/>
      <c r="T205" s="30"/>
      <c r="U205" s="30"/>
      <c r="V205" s="30"/>
      <c r="W205" s="30"/>
      <c r="X205" s="30"/>
      <c r="Y205" s="30"/>
      <c r="Z205" s="38"/>
      <c r="AC205" s="30"/>
      <c r="AD205" s="30"/>
      <c r="AE205" s="30"/>
      <c r="AF205" s="30"/>
    </row>
    <row r="206" spans="1:32" s="6" customFormat="1" x14ac:dyDescent="0.2">
      <c r="A206" s="5" t="s">
        <v>288</v>
      </c>
      <c r="B206" s="22"/>
      <c r="C206" s="5" t="s">
        <v>289</v>
      </c>
      <c r="D206" s="6" t="s">
        <v>251</v>
      </c>
      <c r="F206"/>
      <c r="G206"/>
      <c r="H206"/>
      <c r="I206"/>
      <c r="L206" s="84"/>
      <c r="M206" s="30"/>
      <c r="N206" s="30"/>
      <c r="O206" s="30"/>
      <c r="P206" s="30"/>
      <c r="Q206" s="30"/>
      <c r="R206" s="30"/>
      <c r="S206" s="46"/>
      <c r="T206" s="30"/>
      <c r="U206" s="30"/>
      <c r="V206" s="30"/>
      <c r="W206" s="30"/>
      <c r="X206" s="30"/>
      <c r="Y206" s="30"/>
      <c r="Z206" s="38"/>
      <c r="AC206" s="30"/>
      <c r="AD206" s="30"/>
      <c r="AE206" s="30"/>
      <c r="AF206" s="30"/>
    </row>
    <row r="210" spans="5:32" x14ac:dyDescent="0.2">
      <c r="H210" s="25" t="s">
        <v>498</v>
      </c>
      <c r="I210" s="25" t="s">
        <v>499</v>
      </c>
    </row>
    <row r="211" spans="5:32" x14ac:dyDescent="0.2">
      <c r="H211">
        <f>COUNTIF(H4:H186, TRUE)</f>
        <v>82</v>
      </c>
      <c r="I211">
        <f>COUNTIF(I4:I186,TRUE)</f>
        <v>7</v>
      </c>
    </row>
    <row r="213" spans="5:32" x14ac:dyDescent="0.2">
      <c r="E213" s="92" t="s">
        <v>500</v>
      </c>
    </row>
    <row r="214" spans="5:32" x14ac:dyDescent="0.2">
      <c r="E214" t="s">
        <v>488</v>
      </c>
      <c r="K214" t="s">
        <v>482</v>
      </c>
      <c r="O214" s="8">
        <f t="shared" ref="O214:R218" si="0">COUNTIF(O$4:O$186,$K214)</f>
        <v>3</v>
      </c>
      <c r="P214" s="8">
        <f t="shared" si="0"/>
        <v>3</v>
      </c>
      <c r="Q214" s="8">
        <f t="shared" si="0"/>
        <v>3</v>
      </c>
      <c r="R214" s="8">
        <f t="shared" si="0"/>
        <v>3</v>
      </c>
      <c r="V214" s="8">
        <f t="shared" ref="V214:Y218" si="1">COUNTIF(V$4:V$186,$K214)</f>
        <v>2</v>
      </c>
      <c r="W214" s="8">
        <f t="shared" si="1"/>
        <v>2</v>
      </c>
      <c r="X214" s="8">
        <f t="shared" si="1"/>
        <v>2</v>
      </c>
      <c r="Y214" s="8">
        <f t="shared" si="1"/>
        <v>2</v>
      </c>
      <c r="AC214" s="8">
        <f t="shared" ref="AC214:AF218" si="2">COUNTIF(AC$4:AC$186,$K214)</f>
        <v>2</v>
      </c>
      <c r="AD214" s="8">
        <f t="shared" si="2"/>
        <v>2</v>
      </c>
      <c r="AE214" s="8">
        <f t="shared" si="2"/>
        <v>2</v>
      </c>
      <c r="AF214" s="8">
        <f t="shared" si="2"/>
        <v>2</v>
      </c>
    </row>
    <row r="215" spans="5:32" x14ac:dyDescent="0.2">
      <c r="E215" t="s">
        <v>489</v>
      </c>
      <c r="K215" t="s">
        <v>483</v>
      </c>
      <c r="O215" s="8">
        <f t="shared" si="0"/>
        <v>1</v>
      </c>
      <c r="P215" s="8">
        <f t="shared" si="0"/>
        <v>1</v>
      </c>
      <c r="Q215" s="8">
        <f t="shared" si="0"/>
        <v>1</v>
      </c>
      <c r="R215" s="8">
        <f t="shared" si="0"/>
        <v>1</v>
      </c>
      <c r="V215" s="8">
        <f t="shared" si="1"/>
        <v>2</v>
      </c>
      <c r="W215" s="8">
        <f t="shared" si="1"/>
        <v>2</v>
      </c>
      <c r="X215" s="8">
        <f t="shared" si="1"/>
        <v>2</v>
      </c>
      <c r="Y215" s="8">
        <f t="shared" si="1"/>
        <v>2</v>
      </c>
      <c r="AC215" s="8">
        <f t="shared" si="2"/>
        <v>0</v>
      </c>
      <c r="AD215" s="8">
        <f t="shared" si="2"/>
        <v>0</v>
      </c>
      <c r="AE215" s="8">
        <f t="shared" si="2"/>
        <v>0</v>
      </c>
      <c r="AF215" s="8">
        <f t="shared" si="2"/>
        <v>0</v>
      </c>
    </row>
    <row r="216" spans="5:32" x14ac:dyDescent="0.2">
      <c r="E216" t="s">
        <v>490</v>
      </c>
      <c r="K216" t="s">
        <v>485</v>
      </c>
      <c r="O216" s="8">
        <f t="shared" si="0"/>
        <v>5</v>
      </c>
      <c r="P216" s="8">
        <f t="shared" si="0"/>
        <v>5</v>
      </c>
      <c r="Q216" s="8">
        <f t="shared" si="0"/>
        <v>5</v>
      </c>
      <c r="R216" s="8">
        <f t="shared" si="0"/>
        <v>6</v>
      </c>
      <c r="V216" s="8">
        <f t="shared" si="1"/>
        <v>3</v>
      </c>
      <c r="W216" s="8">
        <f t="shared" si="1"/>
        <v>4</v>
      </c>
      <c r="X216" s="8">
        <f t="shared" si="1"/>
        <v>4</v>
      </c>
      <c r="Y216" s="8">
        <f t="shared" si="1"/>
        <v>2</v>
      </c>
      <c r="AC216" s="8">
        <f t="shared" si="2"/>
        <v>1</v>
      </c>
      <c r="AD216" s="8">
        <f t="shared" si="2"/>
        <v>1</v>
      </c>
      <c r="AE216" s="8">
        <f t="shared" si="2"/>
        <v>1</v>
      </c>
      <c r="AF216" s="8">
        <f t="shared" si="2"/>
        <v>1</v>
      </c>
    </row>
    <row r="217" spans="5:32" x14ac:dyDescent="0.2">
      <c r="E217" t="s">
        <v>491</v>
      </c>
      <c r="K217" t="s">
        <v>487</v>
      </c>
      <c r="O217" s="8">
        <f t="shared" si="0"/>
        <v>5</v>
      </c>
      <c r="P217" s="8">
        <f t="shared" si="0"/>
        <v>5</v>
      </c>
      <c r="Q217" s="8">
        <f t="shared" si="0"/>
        <v>5</v>
      </c>
      <c r="R217" s="8">
        <f t="shared" si="0"/>
        <v>5</v>
      </c>
      <c r="V217" s="8">
        <f t="shared" si="1"/>
        <v>2</v>
      </c>
      <c r="W217" s="8">
        <f t="shared" si="1"/>
        <v>2</v>
      </c>
      <c r="X217" s="8">
        <f t="shared" si="1"/>
        <v>2</v>
      </c>
      <c r="Y217" s="8">
        <f t="shared" si="1"/>
        <v>2</v>
      </c>
      <c r="AC217" s="8">
        <f t="shared" si="2"/>
        <v>3</v>
      </c>
      <c r="AD217" s="8">
        <f t="shared" si="2"/>
        <v>3</v>
      </c>
      <c r="AE217" s="8">
        <f t="shared" si="2"/>
        <v>3</v>
      </c>
      <c r="AF217" s="8">
        <f t="shared" si="2"/>
        <v>3</v>
      </c>
    </row>
    <row r="218" spans="5:32" x14ac:dyDescent="0.2">
      <c r="E218" t="s">
        <v>492</v>
      </c>
      <c r="K218" t="s">
        <v>486</v>
      </c>
      <c r="O218" s="8">
        <f t="shared" si="0"/>
        <v>33</v>
      </c>
      <c r="P218" s="8">
        <f t="shared" si="0"/>
        <v>33</v>
      </c>
      <c r="Q218" s="8">
        <f t="shared" si="0"/>
        <v>33</v>
      </c>
      <c r="R218" s="8">
        <f t="shared" si="0"/>
        <v>32</v>
      </c>
      <c r="V218" s="8">
        <f t="shared" si="1"/>
        <v>17</v>
      </c>
      <c r="W218" s="8">
        <f t="shared" si="1"/>
        <v>16</v>
      </c>
      <c r="X218" s="8">
        <f t="shared" si="1"/>
        <v>16</v>
      </c>
      <c r="Y218" s="8">
        <f t="shared" si="1"/>
        <v>18</v>
      </c>
      <c r="AC218" s="8">
        <f t="shared" si="2"/>
        <v>11</v>
      </c>
      <c r="AD218" s="8">
        <f t="shared" si="2"/>
        <v>11</v>
      </c>
      <c r="AE218" s="8">
        <f t="shared" si="2"/>
        <v>11</v>
      </c>
      <c r="AF218" s="8">
        <f t="shared" si="2"/>
        <v>11</v>
      </c>
    </row>
    <row r="221" spans="5:32" x14ac:dyDescent="0.2">
      <c r="E221" s="25"/>
    </row>
  </sheetData>
  <mergeCells count="9">
    <mergeCell ref="AC2:AF2"/>
    <mergeCell ref="Z1:AF1"/>
    <mergeCell ref="M2:N2"/>
    <mergeCell ref="T2:U2"/>
    <mergeCell ref="AA2:AB2"/>
    <mergeCell ref="S1:Y1"/>
    <mergeCell ref="L1:R1"/>
    <mergeCell ref="O2:R2"/>
    <mergeCell ref="V2:Y2"/>
  </mergeCells>
  <phoneticPr fontId="6" type="noConversion"/>
  <conditionalFormatting sqref="L1 S1 Z1:AF1 L2:M2 O2:T2 V2:AA2 AC2:AF2 L3:AF186">
    <cfRule type="cellIs" dxfId="4" priority="2" operator="equal">
      <formula>"D"</formula>
    </cfRule>
    <cfRule type="cellIs" dxfId="3" priority="3" operator="equal">
      <formula>"C"</formula>
    </cfRule>
  </conditionalFormatting>
  <conditionalFormatting sqref="L4:AF186">
    <cfRule type="cellIs" dxfId="2" priority="1" operator="equal">
      <formula>"B"</formula>
    </cfRule>
    <cfRule type="cellIs" dxfId="1" priority="5" operator="equal">
      <formula>"A"</formula>
    </cfRule>
  </conditionalFormatting>
  <conditionalFormatting sqref="AC2:AF2">
    <cfRule type="cellIs" dxfId="0" priority="4" operator="equal">
      <formula>"B"</formula>
    </cfRule>
  </conditionalFormatting>
  <hyperlinks>
    <hyperlink ref="A4" r:id="rId1" display="https://github.com/HexHive/magma/tree/master/targets/libpng/patches/bugs/PNG001.patch" xr:uid="{3C6F1442-D82D-DD44-93FD-CA4F0B7D29CC}"/>
    <hyperlink ref="C4" r:id="rId2" display="https://cve.mitre.org/cgi-bin/cvename.cgi?name=CVE-2018-13785" xr:uid="{419C4B23-9399-704A-872C-F0E4F84EC978}"/>
    <hyperlink ref="A5" r:id="rId3" display="https://github.com/HexHive/magma/tree/master/targets/libpng/patches/bugs/PNG002.patch" xr:uid="{362C2EDB-F816-7642-A089-E32DB28EDE8C}"/>
    <hyperlink ref="C5" r:id="rId4" display="https://cve.mitre.org/cgi-bin/cvename.cgi?name=CVE-2019-7317" xr:uid="{F5A49EA8-D48F-2A41-B26B-D576DE4482E6}"/>
    <hyperlink ref="A9" r:id="rId5" display="https://github.com/HexHive/magma/tree/master/targets/libpng/patches/bugs/PNG003.patch" xr:uid="{B7342257-14CA-4447-930F-14F8172EE455}"/>
    <hyperlink ref="C9" r:id="rId6" display="https://cve.mitre.org/cgi-bin/cvename.cgi?name=CVE-2015-8472" xr:uid="{1EF63C31-D0E5-2D49-9270-5EF40BA4A616}"/>
    <hyperlink ref="A12" r:id="rId7" display="https://github.com/HexHive/magma/tree/master/targets/libpng/patches/bugs/PNG004.patch" xr:uid="{42E37EC0-6663-F34D-A658-4939EE67141D}"/>
    <hyperlink ref="C12" r:id="rId8" display="https://cve.mitre.org/cgi-bin/cvename.cgi?name=CVE-2015-0973" xr:uid="{05B7DB8F-2C09-A84B-8DB4-E9063B79CAF7}"/>
    <hyperlink ref="A13" r:id="rId9" display="https://github.com/HexHive/magma/tree/master/targets/libpng/patches/bugs/PNG005.patch" xr:uid="{015536B4-ACA6-4342-A69E-193CBF99FD6B}"/>
    <hyperlink ref="C13" r:id="rId10" display="https://cve.mitre.org/cgi-bin/cvename.cgi?name=CVE-2014-9495" xr:uid="{ECB7D0D0-AAF3-5445-8CC2-EA726FAA63ED}"/>
    <hyperlink ref="A14" r:id="rId11" display="https://github.com/HexHive/magma/tree/master/targets/libpng/patches/bugs/PNG006.patch" xr:uid="{9650B608-7CA1-FE4A-9855-1C6A67EF60AF}"/>
    <hyperlink ref="C14" r:id="rId12" display="https://hexhive.epfl.ch/magma/docs/bugs.html" xr:uid="{20815352-279C-1A4A-BEA5-454B165E65D4}"/>
    <hyperlink ref="A16" r:id="rId13" display="https://github.com/HexHive/magma/tree/master/targets/libpng/patches/bugs/PNG007.patch" xr:uid="{26F9B911-A8FC-474F-A59E-E02D7FDB175A}"/>
    <hyperlink ref="C16" r:id="rId14" display="https://cve.mitre.org/cgi-bin/cvename.cgi?name=CVE-2013-6954" xr:uid="{29423A75-892D-CC44-A1DD-D2BA50D7CC33}"/>
    <hyperlink ref="A37" r:id="rId15" display="https://github.com/HexHive/magma/tree/master/targets/libtiff/patches/bugs/TIF001.patch" xr:uid="{5C09912B-62DB-6F4E-A811-97F0F6DC5B3E}"/>
    <hyperlink ref="C37" r:id="rId16" display="https://cve.mitre.org/cgi-bin/cvename.cgi?name=CVE-2016-9535" xr:uid="{CD586611-72D9-E248-9FE5-3E6740C1B0E6}"/>
    <hyperlink ref="A47" r:id="rId17" display="https://github.com/HexHive/magma/tree/master/targets/libtiff/patches/bugs/TIF002.patch" xr:uid="{97AEEC4D-CC81-5F48-B224-FCB80B2397BD}"/>
    <hyperlink ref="C47" r:id="rId18" display="https://cve.mitre.org/cgi-bin/cvename.cgi?name=CVE-2016-5314" xr:uid="{11AC10FE-E476-434D-97C1-1AAD8B3E7D9B}"/>
    <hyperlink ref="A48" r:id="rId19" display="https://github.com/HexHive/magma/tree/master/targets/libtiff/patches/bugs/TIF003.patch" xr:uid="{B57954ED-A399-7D44-8558-BECD8FAA1C21}"/>
    <hyperlink ref="C48" r:id="rId20" display="https://cve.mitre.org/cgi-bin/cvename.cgi?name=CVE-2016-10266" xr:uid="{DB9AFB11-53B1-DB4A-A44E-C265FB7DDA86}"/>
    <hyperlink ref="A49" r:id="rId21" display="https://github.com/HexHive/magma/tree/master/targets/libtiff/patches/bugs/TIF004.patch" xr:uid="{F5DD1D78-E4CE-F54C-B5E6-12413E9D846C}"/>
    <hyperlink ref="C49" r:id="rId22" display="https://cve.mitre.org/cgi-bin/cvename.cgi?name=CVE-2016-10267" xr:uid="{ACDE0D9F-6F31-6A49-B5EE-8D2D0CC3D416}"/>
    <hyperlink ref="A50" r:id="rId23" display="https://github.com/HexHive/magma/tree/master/targets/libtiff/patches/bugs/TIF005.patch" xr:uid="{B8310A1B-8810-3944-ACB1-0253EF7EC192}"/>
    <hyperlink ref="C50" r:id="rId24" display="https://cve.mitre.org/cgi-bin/cvename.cgi?name=CVE-2016-10269" xr:uid="{DB77E50B-F798-6E4A-B759-05CA4C8C933D}"/>
    <hyperlink ref="A51" r:id="rId25" display="https://github.com/HexHive/magma/tree/master/targets/libtiff/patches/bugs/TIF006.patch" xr:uid="{719232BB-ED81-F44E-9D2C-6EF448DA2E33}"/>
    <hyperlink ref="C51" r:id="rId26" display="https://cve.mitre.org/cgi-bin/cvename.cgi?name=CVE-2016-10269" xr:uid="{910B66ED-D4E5-C44E-A264-463ADA14C988}"/>
    <hyperlink ref="A53" r:id="rId27" display="https://github.com/HexHive/magma/tree/master/targets/libtiff/patches/bugs/TIF007.patch" xr:uid="{14DF8F2E-A70F-4F4A-A399-8D6EC96AC1BB}"/>
    <hyperlink ref="C53" r:id="rId28" display="https://cve.mitre.org/cgi-bin/cvename.cgi?name=CVE-2016-10270" xr:uid="{0AF87ECC-B754-984E-BD85-36E6E4BB62E9}"/>
    <hyperlink ref="A55" r:id="rId29" display="https://github.com/HexHive/magma/tree/master/targets/libtiff/patches/bugs/TIF008.patch" xr:uid="{343382D6-70D6-164A-A4FC-930F102D903C}"/>
    <hyperlink ref="C55" r:id="rId30" display="https://cve.mitre.org/cgi-bin/cvename.cgi?name=CVE-2015-8784" xr:uid="{812D29C6-B27E-AD42-AF38-C17A39C84DBD}"/>
    <hyperlink ref="A57" r:id="rId31" display="https://github.com/HexHive/magma/tree/master/targets/libtiff/patches/bugs/TIF009.patch" xr:uid="{62102DF5-FAA0-284D-9D49-F523634732B1}"/>
    <hyperlink ref="C57" r:id="rId32" display="https://cve.mitre.org/cgi-bin/cvename.cgi?name=CVE-2019-7663" xr:uid="{F7E32D3C-3930-FC4B-A080-ACF3FE48C606}"/>
    <hyperlink ref="A58" r:id="rId33" display="https://github.com/HexHive/magma/tree/master/targets/libtiff/patches/bugs/TIF010.patch" xr:uid="{CA738EF1-2112-7D48-8C5A-8FA7DE33F29F}"/>
    <hyperlink ref="C58" r:id="rId34" display="https://cve.mitre.org/cgi-bin/cvename.cgi?name=CVE-2018-8905" xr:uid="{2A826EE9-7FA1-1743-BFA4-94A2B1F1D7AA}"/>
    <hyperlink ref="A59" r:id="rId35" display="https://github.com/HexHive/magma/tree/master/targets/libtiff/patches/bugs/TIF011.patch" xr:uid="{241AAE05-57CA-0242-9BE6-D27D18B08526}"/>
    <hyperlink ref="C59" r:id="rId36" display="https://cve.mitre.org/cgi-bin/cvename.cgi?name=CVE-2018-7456" xr:uid="{DBAFABEA-6FE0-674C-B171-DF08C1CCB9AF}"/>
    <hyperlink ref="A61" r:id="rId37" display="https://github.com/HexHive/magma/tree/master/targets/libtiff/patches/bugs/TIF012.patch" xr:uid="{04390389-1267-7347-A814-BE099F4E42CD}"/>
    <hyperlink ref="C61" r:id="rId38" display="https://cve.mitre.org/cgi-bin/cvename.cgi?name=CVE-2016-3658" xr:uid="{2154E845-7124-5D49-928D-FEB9CCE4B0D4}"/>
    <hyperlink ref="A62" r:id="rId39" display="https://github.com/HexHive/magma/tree/master/targets/libtiff/patches/bugs/TIF013.patch" xr:uid="{BC2A5ED4-F48E-3142-A037-4F2D4FB668CC}"/>
    <hyperlink ref="C62" r:id="rId40" display="https://cve.mitre.org/cgi-bin/cvename.cgi?name=CVE-2018-18557" xr:uid="{A2385B67-E6F9-AA4A-9636-388B0C9C1C77}"/>
    <hyperlink ref="A63" r:id="rId41" display="https://github.com/HexHive/magma/tree/master/targets/libtiff/patches/bugs/TIF014.patch" xr:uid="{08FC13AE-D8C2-8346-95DE-35875C4AA3D6}"/>
    <hyperlink ref="C63" r:id="rId42" display="https://cve.mitre.org/cgi-bin/cvename.cgi?name=CVE-2017-11613" xr:uid="{B09EE01B-1CC8-1448-8B78-70397A6D434B}"/>
    <hyperlink ref="A64" r:id="rId43" display="https://github.com/HexHive/magma/tree/master/targets/libxml2/patches/bugs/XML001.patch" xr:uid="{211B425C-94C9-8543-A37E-E0EE4FBEB8E1}"/>
    <hyperlink ref="C64" r:id="rId44" display="https://cve.mitre.org/cgi-bin/cvename.cgi?name=CVE-2017-9047" xr:uid="{0DE67CC6-F47D-0E4E-B1B6-37C1E9F9B47F}"/>
    <hyperlink ref="A67" r:id="rId45" display="https://github.com/HexHive/magma/tree/master/targets/libxml2/patches/bugs/XML002.patch" xr:uid="{F7CC30BE-B550-8C47-A61F-9CCB9501573F}"/>
    <hyperlink ref="C67" r:id="rId46" display="https://cve.mitre.org/cgi-bin/cvename.cgi?name=CVE-2017-0663" xr:uid="{57D3476F-EE7F-C04B-AEA2-E19C2E02BB50}"/>
    <hyperlink ref="A68" r:id="rId47" display="https://github.com/HexHive/magma/tree/master/targets/libxml2/patches/bugs/XML003.patch" xr:uid="{4598DF1E-4CC8-B44E-B6EE-CA3F29BFDDF5}"/>
    <hyperlink ref="C68" r:id="rId48" display="https://cve.mitre.org/cgi-bin/cvename.cgi?name=CVE-2017-7375" xr:uid="{95005A50-FE0A-4345-80F5-C7329A8BA80B}"/>
    <hyperlink ref="A69" r:id="rId49" display="https://github.com/HexHive/magma/tree/master/targets/libxml2/patches/bugs/XML004.patch" xr:uid="{AFD80B66-9C21-A747-B797-CCBA0BC04009}"/>
    <hyperlink ref="C69" r:id="rId50" display="https://cve.mitre.org/cgi-bin/cvename.cgi?name=CVE-2018-14567" xr:uid="{9BA039B4-9A73-9149-AD04-FA2C7A1A3C59}"/>
    <hyperlink ref="A70" r:id="rId51" display="https://github.com/HexHive/magma/tree/master/targets/libxml2/patches/bugs/XML005.patch" xr:uid="{A899EDB6-3AC5-A044-B380-EC2142B333EA}"/>
    <hyperlink ref="C70" r:id="rId52" display="https://cve.mitre.org/cgi-bin/cvename.cgi?name=CVE-2017-5130" xr:uid="{64353D52-9D74-B847-BA66-2133774DE130}"/>
    <hyperlink ref="A74" r:id="rId53" display="https://github.com/HexHive/magma/tree/master/targets/libxml2/patches/bugs/XML006.patch" xr:uid="{3A081904-B254-B34E-831A-70F1D5AE41DC}"/>
    <hyperlink ref="C74" r:id="rId54" display="https://cve.mitre.org/cgi-bin/cvename.cgi?name=CVE-2017-9048" xr:uid="{559ACE35-89A6-3848-A86B-4290FE47B8C1}"/>
    <hyperlink ref="A75" r:id="rId55" display="https://github.com/HexHive/magma/tree/master/targets/libxml2/patches/bugs/XML007.patch" xr:uid="{DD6387C5-5CCF-DA45-83FE-AFC604D231D7}"/>
    <hyperlink ref="C75" r:id="rId56" display="https://cve.mitre.org/cgi-bin/cvename.cgi?name=CVE-2017-8872" xr:uid="{FCD21362-1075-2343-B4BE-AA86C950CC27}"/>
    <hyperlink ref="A76" r:id="rId57" display="https://github.com/HexHive/magma/tree/master/targets/libxml2/patches/bugs/XML008.patch" xr:uid="{D3DE0B93-2968-934F-93B7-0A9F3253038C}"/>
    <hyperlink ref="C76" r:id="rId58" display="https://gitlab.gnome.org/GNOME/libxml2/-/issues/58" xr:uid="{75F769B0-EBCC-5645-BC80-8124DB16BD4A}"/>
    <hyperlink ref="A77" r:id="rId59" display="https://github.com/HexHive/magma/tree/master/targets/libxml2/patches/bugs/XML009.patch" xr:uid="{465E6C9B-0DA6-AF44-95EB-11FAEF7B0152}"/>
    <hyperlink ref="C77" r:id="rId60" display="https://cve.mitre.org/cgi-bin/cvename.cgi?name=CVE-2015-8317" xr:uid="{3ECB279A-C305-8443-8E33-7A2DC650B2FD}"/>
    <hyperlink ref="A78" r:id="rId61" display="https://github.com/HexHive/magma/tree/master/targets/libxml2/patches/bugs/XML010.patch" xr:uid="{13487B28-27ED-6343-91AF-38A5D97ADB91}"/>
    <hyperlink ref="C78" r:id="rId62" display="https://cve.mitre.org/cgi-bin/cvename.cgi?name=CVE-2016-4449" xr:uid="{9D818603-61CA-4441-8762-205C419E16D0}"/>
    <hyperlink ref="A79" r:id="rId63" display="https://github.com/HexHive/magma/tree/master/targets/libxml2/patches/bugs/XML011.patch" xr:uid="{A94C60BC-7FAD-5348-8BB7-6B2A0F86945B}"/>
    <hyperlink ref="C79" r:id="rId64" display="https://cve.mitre.org/cgi-bin/cvename.cgi?name=CVE-2016-1834" xr:uid="{FA12CB1D-0398-0B45-B579-66B87F219A5F}"/>
    <hyperlink ref="A82" r:id="rId65" display="https://github.com/HexHive/magma/tree/master/targets/libxml2/patches/bugs/XML012.patch" xr:uid="{E0B1A8E4-EA4B-E743-8CC7-56A974B26880}"/>
    <hyperlink ref="C82" r:id="rId66" display="https://cve.mitre.org/cgi-bin/cvename.cgi?name=CVE-2016-1836" xr:uid="{B3D99E65-535B-7644-829C-2DB4E1CA5B6D}"/>
    <hyperlink ref="A83" r:id="rId67" display="https://github.com/HexHive/magma/tree/master/targets/libxml2/patches/bugs/XML013.patch" xr:uid="{992EDA50-C0C9-DD4C-BF31-8BDD47E7E3E1}"/>
    <hyperlink ref="C83" r:id="rId68" display="https://cve.mitre.org/cgi-bin/cvename.cgi?name=CVE-2016-1837" xr:uid="{4934250B-9976-9A4C-9741-053D2AB3AFA6}"/>
    <hyperlink ref="A87" r:id="rId69" display="https://github.com/HexHive/magma/tree/master/targets/libxml2/patches/bugs/XML014.patch" xr:uid="{2912E896-C5AA-2942-A4DC-F7469145343F}"/>
    <hyperlink ref="C87" r:id="rId70" display="https://cve.mitre.org/cgi-bin/cvename.cgi?name=CVE-2016-1839" xr:uid="{6D4F34C1-D2AF-194A-9AE0-3EC91F548C45}"/>
    <hyperlink ref="A88" r:id="rId71" display="https://github.com/HexHive/magma/tree/master/targets/libxml2/patches/bugs/XML015.patch" xr:uid="{C753D1FB-B377-E14A-B9CD-697E19F23FB8}"/>
    <hyperlink ref="C88" r:id="rId72" display="https://hexhive.epfl.ch/magma/docs/bugs.html" xr:uid="{052E8716-CC44-DE4A-B8C9-B99490AE5B78}"/>
    <hyperlink ref="A89" r:id="rId73" display="https://github.com/HexHive/magma/tree/master/targets/libxml2/patches/bugs/XML016.patch" xr:uid="{A5AF98BC-E664-8D45-990B-934373D6B215}"/>
    <hyperlink ref="C89" r:id="rId74" display="https://cve.mitre.org/cgi-bin/cvename.cgi?name=CVE-2016-1840" xr:uid="{53040034-B458-E544-BE81-0FE5CE2A9A10}"/>
    <hyperlink ref="A91" r:id="rId75" display="https://github.com/HexHive/magma/tree/master/targets/libxml2/patches/bugs/XML017.patch" xr:uid="{B0176CB1-31BA-EF43-909D-81729226FD35}"/>
    <hyperlink ref="C91" r:id="rId76" display="https://cve.mitre.org/cgi-bin/cvename.cgi?name=CVE-2016-1762" xr:uid="{8044EDBD-0C82-FD44-A7BA-B93C5C9BA891}"/>
    <hyperlink ref="A159" r:id="rId77" display="https://github.com/HexHive/magma/tree/master/targets/poppler/patches/bugs/PDF001.patch" xr:uid="{F62046BE-4D1E-A346-8F05-5E2E6549C051}"/>
    <hyperlink ref="C159" r:id="rId78" display="https://cve.mitre.org/cgi-bin/cvename.cgi?name=CVE-2019-14494" xr:uid="{DD241EF6-2029-8E40-BEC5-2352B68D2F01}"/>
    <hyperlink ref="A160" r:id="rId79" display="https://github.com/HexHive/magma/tree/master/targets/poppler/patches/bugs/PDF002.patch" xr:uid="{0F97699F-056E-CB41-93B0-C4F5E1810EF8}"/>
    <hyperlink ref="C160" r:id="rId80" display="https://cve.mitre.org/cgi-bin/cvename.cgi?name=CVE-2019-9959" xr:uid="{B2964DCA-F8B8-024E-A830-72661096A49E}"/>
    <hyperlink ref="A161" r:id="rId81" display="https://github.com/HexHive/magma/tree/master/targets/poppler/patches/bugs/PDF003.patch" xr:uid="{54858DE6-506F-8D40-9DC1-255BA4BCB668}"/>
    <hyperlink ref="C161" r:id="rId82" display="https://cve.mitre.org/cgi-bin/cvename.cgi?name=CVE-2017-9865" xr:uid="{B07D5FAA-4AA2-9947-A9BF-7DE8A0DD2F46}"/>
    <hyperlink ref="A163" r:id="rId83" display="https://github.com/HexHive/magma/tree/master/targets/poppler/patches/bugs/PDF004.patch" xr:uid="{ABB9D551-263A-8E42-8443-F58BB928770B}"/>
    <hyperlink ref="C163" r:id="rId84" display="https://cve.mitre.org/cgi-bin/cvename.cgi?name=CVE-2019-10873" xr:uid="{13C13C34-3353-554D-8761-E1FDA130CFD2}"/>
    <hyperlink ref="A164" r:id="rId85" display="https://github.com/HexHive/magma/tree/master/targets/poppler/patches/bugs/PDF005.patch" xr:uid="{A87EB056-5689-D444-94C8-DFD6C24BED42}"/>
    <hyperlink ref="C164" r:id="rId86" display="https://cve.mitre.org/cgi-bin/cvename.cgi?name=CVE-2019-12293" xr:uid="{2F618D4B-807C-9742-B5A0-E633152CA5EF}"/>
    <hyperlink ref="A165" r:id="rId87" display="https://github.com/HexHive/magma/tree/master/targets/poppler/patches/bugs/PDF006.patch" xr:uid="{BD13381A-42B6-7B4D-B775-6C10346B2611}"/>
    <hyperlink ref="C165" r:id="rId88" display="https://cve.mitre.org/cgi-bin/cvename.cgi?name=CVE-2019-10872" xr:uid="{06B73D61-0A19-CF43-9EB9-30BF9D3EE9BD}"/>
    <hyperlink ref="A166" r:id="rId89" display="https://github.com/HexHive/magma/tree/master/targets/poppler/patches/bugs/PDF007.patch" xr:uid="{760AE05B-B162-1C44-816C-470F4DD6C3C1}"/>
    <hyperlink ref="C166" r:id="rId90" display="https://cve.mitre.org/cgi-bin/cvename.cgi?name=CVE-2019-9200" xr:uid="{44A8AF58-00E0-084D-A652-E6D93B65CF94}"/>
    <hyperlink ref="A167" r:id="rId91" display="https://github.com/HexHive/magma/tree/master/targets/poppler/patches/bugs/PDF008.patch" xr:uid="{513548E9-D306-2B4F-A368-580AB5F9AE7F}"/>
    <hyperlink ref="C167" r:id="rId92" display="https://bugs.freedesktop.org/show_bug.cgi?id=106061" xr:uid="{67B74337-D30C-F347-ACF0-B8D202F49E5E}"/>
    <hyperlink ref="A168" r:id="rId93" display="https://github.com/HexHive/magma/tree/master/targets/poppler/patches/bugs/PDF009.patch" xr:uid="{D8846222-443D-994F-9074-AA27A6478EEC}"/>
    <hyperlink ref="C168" r:id="rId94" display="https://bugs.chromium.org/p/oss-fuzz/issues/detail?id=8499" xr:uid="{0B72F737-24B2-7140-A9B7-59518F93758C}"/>
    <hyperlink ref="A169" r:id="rId95" display="https://github.com/HexHive/magma/tree/master/targets/poppler/patches/bugs/PDF010.patch" xr:uid="{F0C16154-826F-6247-B8C9-77D70EB815AE}"/>
    <hyperlink ref="C169" r:id="rId96" display="https://bugs.freedesktop.org/show_bug.cgi?id=101366" xr:uid="{4D4B5535-7F94-1E4F-B00A-6CDAC4169A1C}"/>
    <hyperlink ref="A170" r:id="rId97" display="https://github.com/HexHive/magma/tree/master/targets/poppler/patches/bugs/PDF011.patch" xr:uid="{1C600D2A-E805-DA45-A562-524E270C5E2D}"/>
    <hyperlink ref="C170" r:id="rId98" display="https://cve.mitre.org/cgi-bin/cvename.cgi?name=CVE-2019-7310" xr:uid="{CF400157-15A6-2F44-895E-340DCDC3B0A7}"/>
    <hyperlink ref="A171" r:id="rId99" display="https://github.com/HexHive/magma/tree/master/targets/poppler/patches/bugs/PDF012.patch" xr:uid="{53681C5F-F365-4D4A-B0C2-17FDDCF3BEC9}"/>
    <hyperlink ref="C171" r:id="rId100" display="https://cve.mitre.org/cgi-bin/cvename.cgi?name=CVE-2018-21009" xr:uid="{68711AC1-1F08-D14C-A866-7F8C614E43EA}"/>
    <hyperlink ref="A172" r:id="rId101" display="https://github.com/HexHive/magma/tree/master/targets/poppler/patches/bugs/PDF013.patch" xr:uid="{2B1A3F5C-31A6-8A4D-9889-CE63BA09C591}"/>
    <hyperlink ref="C172" r:id="rId102" display="https://cve.mitre.org/cgi-bin/cvename.cgi?name=CVE-2018-20650" xr:uid="{25613330-9B40-D049-8DAF-B55FC15F24D8}"/>
    <hyperlink ref="A173" r:id="rId103" display="https://github.com/HexHive/magma/tree/master/targets/poppler/patches/bugs/PDF014.patch" xr:uid="{C6692448-E4CC-744D-AB28-A2914A98E063}"/>
    <hyperlink ref="C173" r:id="rId104" display="https://cve.mitre.org/cgi-bin/cvename.cgi?name=CVE-2018-20481" xr:uid="{64EB962B-73BA-024D-BC4A-2F979BD45C0E}"/>
    <hyperlink ref="A174" r:id="rId105" display="https://github.com/HexHive/magma/tree/master/targets/poppler/patches/bugs/PDF015.patch" xr:uid="{611A1436-7E5F-6845-9DF1-B1D66D9D84D7}"/>
    <hyperlink ref="C174" r:id="rId106" display="https://cve.mitre.org/cgi-bin/cvename.cgi?name=CVE-2018-19058" xr:uid="{9702CBBE-A249-FD42-9632-024135351D62}"/>
    <hyperlink ref="A175" r:id="rId107" display="https://github.com/HexHive/magma/tree/master/targets/poppler/patches/bugs/PDF016.patch" xr:uid="{85CBF37C-ADE3-6D44-9366-051C94B68370}"/>
    <hyperlink ref="C175" r:id="rId108" display="https://cve.mitre.org/cgi-bin/cvename.cgi?name=CVE-2018-13988" xr:uid="{57CD66B4-0EA7-5945-A026-3037C97D1DDD}"/>
    <hyperlink ref="A176" r:id="rId109" display="https://github.com/HexHive/magma/tree/master/targets/poppler/patches/bugs/PDF017.patch" xr:uid="{E675F7D8-9A2C-FB48-AAB5-B4920BADC165}"/>
    <hyperlink ref="C176" r:id="rId110" display="https://cve.mitre.org/cgi-bin/cvename.cgi?name=CVE-2019-12360" xr:uid="{83963ED3-161C-184C-9232-4DA931CA76D5}"/>
    <hyperlink ref="A178" r:id="rId111" display="https://github.com/HexHive/magma/tree/master/targets/poppler/patches/bugs/PDF018.patch" xr:uid="{D4E9618A-0711-A54C-9799-962DC8DA62E8}"/>
    <hyperlink ref="C178" r:id="rId112" display="https://cve.mitre.org/cgi-bin/cvename.cgi?name=CVE-2018-10768" xr:uid="{996760A5-D1A4-3F45-AB00-B17EA96B7A03}"/>
    <hyperlink ref="A179" r:id="rId113" display="https://github.com/HexHive/magma/tree/master/targets/poppler/patches/bugs/PDF019.patch" xr:uid="{2459D49A-FE2A-3C48-8751-3FBDCC1DBF76}"/>
    <hyperlink ref="C179" r:id="rId114" display="https://cve.mitre.org/cgi-bin/cvename.cgi?name=CVE-2017-9776" xr:uid="{5D622655-5A01-C24C-BA86-7B237493CA37}"/>
    <hyperlink ref="A180" r:id="rId115" display="https://github.com/HexHive/magma/tree/master/targets/poppler/patches/bugs/PDF020.patch" xr:uid="{D46AEC9C-47C7-2941-BAD1-A744128E0971}"/>
    <hyperlink ref="C180" r:id="rId116" display="https://cve.mitre.org/cgi-bin/cvename.cgi?name=CVE-2017-18267" xr:uid="{C23532A9-01EF-BC4D-B0C2-18C7B3A91973}"/>
    <hyperlink ref="A182" r:id="rId117" display="https://github.com/HexHive/magma/tree/master/targets/poppler/patches/bugs/PDF021.patch" xr:uid="{B0F42FF3-BEB1-5645-9B0D-B2AB94845AB6}"/>
    <hyperlink ref="C182" r:id="rId118" display="https://cve.mitre.org/cgi-bin/cvename.cgi?name=CVE-2017-14617" xr:uid="{24672B0E-8B02-C842-8824-0A0FD62E9730}"/>
    <hyperlink ref="A186" r:id="rId119" display="https://github.com/HexHive/magma/tree/master/targets/poppler/patches/bugs/PDF022.patch" xr:uid="{3B909762-2377-F342-B0FE-4D512C5A8073}"/>
    <hyperlink ref="C186" r:id="rId120" display="https://cve.mitre.org/cgi-bin/cvename.cgi?name=CVE-2019-12493" xr:uid="{FBF9D3B6-6213-0243-B29E-0F431B9706D7}"/>
    <hyperlink ref="A105" r:id="rId121" display="https://github.com/HexHive/magma/tree/master/targets/openssl/patches/bugs/SSL002.patch" xr:uid="{87C4F819-7D63-D545-9E5A-5A9503BFA759}"/>
    <hyperlink ref="C105" r:id="rId122" display="https://cve.mitre.org/cgi-bin/cvename.cgi?name=CVE-2016-6309" xr:uid="{5A332D57-D111-C743-A455-2B7606013345}"/>
    <hyperlink ref="A106" r:id="rId123" display="https://github.com/HexHive/magma/tree/master/targets/openssl/patches/bugs/SSL003.patch" xr:uid="{24ED37C1-5177-E440-BAE2-5354FF8EFE6A}"/>
    <hyperlink ref="C106" r:id="rId124" display="https://cve.mitre.org/cgi-bin/cvename.cgi?name=CVE-2016-2109" xr:uid="{F66375E7-C13B-8546-8920-C6DE5DEE4E39}"/>
    <hyperlink ref="A107" r:id="rId125" display="https://github.com/HexHive/magma/tree/master/targets/openssl/patches/bugs/SSL004.patch" xr:uid="{534DF7F0-000D-6045-BE35-3CFD27E76D72}"/>
    <hyperlink ref="C107" r:id="rId126" display="https://cve.mitre.org/cgi-bin/cvename.cgi?name=CVE-2016-2176" xr:uid="{78A6EAF8-7233-F24D-B688-CA5357597F9C}"/>
    <hyperlink ref="A108" r:id="rId127" display="https://github.com/HexHive/magma/tree/master/targets/openssl/patches/bugs/SSL005.patch" xr:uid="{02D764E2-5EE7-394D-80DF-9196D3A78AE4}"/>
    <hyperlink ref="C108" r:id="rId128" display="https://cve.mitre.org/cgi-bin/cvename.cgi?name=CVE-2016-6304" xr:uid="{928FFB23-52E6-1047-A3EB-E03FB3EDF171}"/>
    <hyperlink ref="A109" r:id="rId129" display="https://github.com/HexHive/magma/tree/master/targets/openssl/patches/bugs/SSL006.patch" xr:uid="{8B4ACA41-E9AE-B343-BABE-25B8C509143F}"/>
    <hyperlink ref="C109" r:id="rId130" display="https://cve.mitre.org/cgi-bin/cvename.cgi?name=CVE-2016-2105" xr:uid="{733CB702-AF32-D948-9BC3-2D0E06E174B6}"/>
    <hyperlink ref="A110" r:id="rId131" display="https://github.com/HexHive/magma/tree/master/targets/openssl/patches/bugs/SSL007.patch" xr:uid="{4AE3E93E-0168-7A49-9B26-5A730BF8DA60}"/>
    <hyperlink ref="C110" r:id="rId132" display="https://cve.mitre.org/cgi-bin/cvename.cgi?name=CVE-2016-6303" xr:uid="{6A4960FC-399E-9B4E-8936-B1D5F58B1EEE}"/>
    <hyperlink ref="A111" r:id="rId133" display="https://github.com/HexHive/magma/tree/master/targets/openssl/patches/bugs/SSL008.patch" xr:uid="{DD5CA4EF-0892-1F47-9C1E-44F0733DF86F}"/>
    <hyperlink ref="C111" r:id="rId134" display="https://cve.mitre.org/cgi-bin/cvename.cgi?name=CVE-2017-3730" xr:uid="{31054AAE-1138-4C4A-838C-3B325BDF13A3}"/>
    <hyperlink ref="A113" r:id="rId135" display="https://github.com/HexHive/magma/tree/master/targets/openssl/patches/bugs/SSL009.patch" xr:uid="{941FF988-CF8D-CA4A-88C7-BEA82D60DC83}"/>
    <hyperlink ref="C113" r:id="rId136" display="https://cve.mitre.org/cgi-bin/cvename.cgi?name=CVE-2017-3735" xr:uid="{C858EFEB-3A69-BB41-98E3-8EA2B192CFCF}"/>
    <hyperlink ref="A114" r:id="rId137" display="https://github.com/HexHive/magma/tree/master/targets/openssl/patches/bugs/SSL010.patch" xr:uid="{79D6E916-1FD0-9842-96C7-E79B44B63826}"/>
    <hyperlink ref="C114" r:id="rId138" display="https://cve.mitre.org/cgi-bin/cvename.cgi?name=CVE-2016-0797" xr:uid="{86543991-0269-1349-A1EA-FCB8BBF50CF8}"/>
    <hyperlink ref="A115" r:id="rId139" display="https://github.com/HexHive/magma/tree/master/targets/openssl/patches/bugs/SSL011.patch" xr:uid="{8E2880C5-B521-2F41-85E0-0FE16F5184DF}"/>
    <hyperlink ref="C115" r:id="rId140" display="https://cve.mitre.org/cgi-bin/cvename.cgi?name=CVE-2015-1790" xr:uid="{1517B8A9-5310-6344-982E-B1A6CDCC6C1F}"/>
    <hyperlink ref="A117" r:id="rId141" display="https://github.com/HexHive/magma/tree/master/targets/openssl/patches/bugs/SSL012.patch" xr:uid="{68B058BA-8153-9549-83C5-516F751EB3CA}"/>
    <hyperlink ref="C117" r:id="rId142" display="https://cve.mitre.org/cgi-bin/cvename.cgi?name=CVE-2015-0288" xr:uid="{8370A447-3817-B147-AF93-5D200335E6A5}"/>
    <hyperlink ref="A118" r:id="rId143" display="https://github.com/HexHive/magma/tree/master/targets/openssl/patches/bugs/SSL013.patch" xr:uid="{371DF564-14ED-044C-9171-3162E1CC4CD6}"/>
    <hyperlink ref="C118" r:id="rId144" display="https://cve.mitre.org/cgi-bin/cvename.cgi?name=CVE-2015-0208" xr:uid="{E626AFE0-7527-FC43-B845-C2C56158A816}"/>
    <hyperlink ref="A119" r:id="rId145" display="https://github.com/HexHive/magma/tree/master/targets/openssl/patches/bugs/SSL014.patch" xr:uid="{1541DAB0-AF63-844D-92E0-B51D15A31ED7}"/>
    <hyperlink ref="C119" r:id="rId146" display="https://cve.mitre.org/cgi-bin/cvename.cgi?name=CVE-2015-0286" xr:uid="{F6692601-F46A-AF49-B661-226356CE4CC5}"/>
    <hyperlink ref="A120" r:id="rId147" display="https://github.com/HexHive/magma/tree/master/targets/openssl/patches/bugs/SSL015.patch" xr:uid="{0F27842D-A599-4B41-B4DF-8D65E60CC9EF}"/>
    <hyperlink ref="C120" r:id="rId148" display="https://cve.mitre.org/cgi-bin/cvename.cgi?name=CVE-2015-0289" xr:uid="{E6836702-EA7A-4047-90B6-DE8F39DB4F9A}"/>
    <hyperlink ref="A124" r:id="rId149" display="https://github.com/HexHive/magma/tree/master/targets/openssl/patches/bugs/SSL016.patch" xr:uid="{B44B9C29-98B4-8748-90BD-8FE7B5F0D6E8}"/>
    <hyperlink ref="C124" r:id="rId150" display="https://cve.mitre.org/cgi-bin/cvename.cgi?name=CVE-2015-1788" xr:uid="{3AC3441C-F7C0-3146-9AD0-370A88D0212B}"/>
    <hyperlink ref="A125" r:id="rId151" display="https://github.com/HexHive/magma/tree/master/targets/openssl/patches/bugs/SSL017.patch" xr:uid="{84060246-879C-A047-B605-89E85BF68BF4}"/>
    <hyperlink ref="C125" r:id="rId152" display="https://cve.mitre.org/cgi-bin/cvename.cgi?name=CVE-2016-7052" xr:uid="{72F63C6A-8DFC-324F-801A-2EA8525ACD8E}"/>
    <hyperlink ref="A127" r:id="rId153" display="https://github.com/HexHive/magma/tree/master/targets/openssl/patches/bugs/SSL018.patch" xr:uid="{52E1A3E8-0C8E-DC46-8ACC-9785E81EAB03}"/>
    <hyperlink ref="C127" r:id="rId154" display="https://cve.mitre.org/cgi-bin/cvename.cgi?name=CVE-2016-6308" xr:uid="{5C794C30-B6AA-5042-B845-337440C57D5F}"/>
    <hyperlink ref="A128" r:id="rId155" display="https://github.com/HexHive/magma/tree/master/targets/openssl/patches/bugs/SSL019.patch" xr:uid="{61261782-EE86-F84D-87BA-4A9BD5ACDCAA}"/>
    <hyperlink ref="C128" r:id="rId156" display="https://cve.mitre.org/cgi-bin/cvename.cgi?name=CVE-2016-6305" xr:uid="{AC1ADA68-58AF-0443-B2CB-DDD05675C379}"/>
    <hyperlink ref="A129" r:id="rId157" display="https://github.com/HexHive/magma/tree/master/targets/openssl/patches/bugs/SSL020.patch" xr:uid="{5246611A-DE88-E341-B833-586146E0CD66}"/>
    <hyperlink ref="C129" r:id="rId158" display="https://cve.mitre.org/cgi-bin/cvename.cgi?name=CVE-2016-6302" xr:uid="{C6679045-946B-2D4D-B408-88793B000370}"/>
    <hyperlink ref="A187" r:id="rId159" display="https://github.com/HexHive/magma/tree/master/targets/sqlite3/patches/bugs/SQL001.patch" xr:uid="{65F00FEB-5CB0-DE4B-B420-C1918408F7FB}"/>
    <hyperlink ref="C187" r:id="rId160" display="https://cve.mitre.org/cgi-bin/cvename.cgi?name=CVE-2019-9936" xr:uid="{B57D77CD-8E6A-DA45-8F58-6767BCCA4E68}"/>
    <hyperlink ref="A188" r:id="rId161" display="https://github.com/HexHive/magma/tree/master/targets/sqlite3/patches/bugs/SQL002.patch" xr:uid="{19420F02-8814-B34B-B40D-7293DA8C927F}"/>
    <hyperlink ref="C188" r:id="rId162" display="https://cve.mitre.org/cgi-bin/cvename.cgi?name=CVE-2019-20218" xr:uid="{0C1CE562-A3AD-3A4B-9BF6-2D67AA3B9D37}"/>
    <hyperlink ref="A189" r:id="rId163" display="https://github.com/HexHive/magma/tree/master/targets/sqlite3/patches/bugs/SQL003.patch" xr:uid="{DE4AF645-23E7-F74F-BF02-8A3E45380B5F}"/>
    <hyperlink ref="C189" r:id="rId164" display="https://cve.mitre.org/cgi-bin/cvename.cgi?name=CVE-2019-19923" xr:uid="{46C60181-5F05-DE47-8094-D122C9EC8687}"/>
    <hyperlink ref="A190" r:id="rId165" display="https://github.com/HexHive/magma/tree/master/targets/sqlite3/patches/bugs/SQL004.patch" xr:uid="{BEF07D6F-E0F6-7249-AE08-6001A1033FB3}"/>
    <hyperlink ref="C190" r:id="rId166" display="https://cve.mitre.org/cgi-bin/cvename.cgi?name=CVE-2019-19959" xr:uid="{487321B0-81BB-CA48-AAEF-2E2FCA2A72F9}"/>
    <hyperlink ref="A191" r:id="rId167" display="https://github.com/HexHive/magma/tree/master/targets/sqlite3/patches/bugs/SQL005.patch" xr:uid="{612812B8-9620-EB41-9A0A-D07F837C10A9}"/>
    <hyperlink ref="C191" r:id="rId168" display="https://cve.mitre.org/cgi-bin/cvename.cgi?name=CVE-2019-19925" xr:uid="{D24F2C50-141B-D64A-BCA3-19BB3C98B75F}"/>
    <hyperlink ref="A192" r:id="rId169" display="https://github.com/HexHive/magma/tree/master/targets/sqlite3/patches/bugs/SQL006.patch" xr:uid="{09DEFAFF-66D3-B24C-832A-48DDDE169709}"/>
    <hyperlink ref="C192" r:id="rId170" display="https://cve.mitre.org/cgi-bin/cvename.cgi?name=CVE-2019-19244" xr:uid="{39016A9D-44D6-3F4A-A2E3-609D6A759F8F}"/>
    <hyperlink ref="A193" r:id="rId171" display="https://github.com/HexHive/magma/tree/master/targets/sqlite3/patches/bugs/SQL007.patch" xr:uid="{E618F234-5CB9-F548-ADED-71904640BD21}"/>
    <hyperlink ref="C193" r:id="rId172" display="https://cve.mitre.org/cgi-bin/cvename.cgi?name=CVE-2018-8740" xr:uid="{EDC78FD3-8E0B-F74F-B79C-D43F28154E94}"/>
    <hyperlink ref="A194" r:id="rId173" display="https://github.com/HexHive/magma/tree/master/targets/sqlite3/patches/bugs/SQL008.patch" xr:uid="{CD32E60F-02DC-8142-B30D-844F947B6708}"/>
    <hyperlink ref="C194" r:id="rId174" display="https://cve.mitre.org/cgi-bin/cvename.cgi?name=CVE-2017-15286" xr:uid="{B26FB58F-DEBC-F541-9E95-92DEBBC1A818}"/>
    <hyperlink ref="A195" r:id="rId175" display="https://github.com/HexHive/magma/tree/master/targets/sqlite3/patches/bugs/SQL009.patch" xr:uid="{DD024B44-81C3-074E-8BEB-11EE313D8A67}"/>
    <hyperlink ref="C195" r:id="rId176" display="https://cve.mitre.org/cgi-bin/cvename.cgi?name=CVE-2017-2520" xr:uid="{41EAF417-45F9-454D-A379-1046B2C5AB79}"/>
    <hyperlink ref="A196" r:id="rId177" display="https://github.com/HexHive/magma/tree/master/targets/sqlite3/patches/bugs/SQL010.patch" xr:uid="{2E3D3928-F88E-1E40-8BF0-49F9CECDFB74}"/>
    <hyperlink ref="C196" r:id="rId178" display="https://cve.mitre.org/cgi-bin/cvename.cgi?name=CVE-2017-2518" xr:uid="{740D8802-7F5D-5346-BFC8-CBB88DDD6A9E}"/>
    <hyperlink ref="A197" r:id="rId179" display="https://github.com/HexHive/magma/tree/master/targets/sqlite3/patches/bugs/SQL011.patch" xr:uid="{3EE724B2-FF25-8C41-AED7-33341F747911}"/>
    <hyperlink ref="C197" r:id="rId180" display="https://cve.mitre.org/cgi-bin/cvename.cgi?name=CVE-2017-10989" xr:uid="{BF65DA8C-3BB4-A045-82F6-F2EB45A25D20}"/>
    <hyperlink ref="A198" r:id="rId181" display="https://github.com/HexHive/magma/tree/master/targets/sqlite3/patches/bugs/SQL012.patch" xr:uid="{E8C4E95F-DF34-0343-8805-61C4A5C6842F}"/>
    <hyperlink ref="C198" r:id="rId182" display="https://cve.mitre.org/cgi-bin/cvename.cgi?name=CVE-2019-19646" xr:uid="{1AD3DC50-FDA5-024F-B687-7D1AD69152DB}"/>
    <hyperlink ref="A199" r:id="rId183" display="https://github.com/HexHive/magma/tree/master/targets/sqlite3/patches/bugs/SQL013.patch" xr:uid="{F5873191-D3DB-5C40-A80C-2F6D717545D6}"/>
    <hyperlink ref="C199" r:id="rId184" display="https://cve.mitre.org/cgi-bin/cvename.cgi?name=CVE-2013-7443" xr:uid="{82C81929-35E4-8944-8CEA-4B31E769BE7D}"/>
    <hyperlink ref="A200" r:id="rId185" display="https://github.com/HexHive/magma/tree/master/targets/sqlite3/patches/bugs/SQL014.patch" xr:uid="{3AC92CB1-5BF7-3143-9B30-56DA076DDAF7}"/>
    <hyperlink ref="C200" r:id="rId186" display="https://cve.mitre.org/cgi-bin/cvename.cgi?name=CVE-2019-19926" xr:uid="{DB8F05EC-6245-8B47-B16A-5A833D52C9CB}"/>
    <hyperlink ref="A201" r:id="rId187" display="https://github.com/HexHive/magma/tree/master/targets/sqlite3/patches/bugs/SQL015.patch" xr:uid="{5ED2CB9D-B856-A34E-9840-527E40BA1BA9}"/>
    <hyperlink ref="C201" r:id="rId188" display="https://cve.mitre.org/cgi-bin/cvename.cgi?name=CVE-2019-19317" xr:uid="{651369C2-C876-C34D-9EFA-B52FAFBD18F0}"/>
    <hyperlink ref="A202" r:id="rId189" display="https://github.com/HexHive/magma/tree/master/targets/sqlite3/patches/bugs/SQL016.patch" xr:uid="{F6C97716-3CDA-BA49-9C2D-0205AD667A5A}"/>
    <hyperlink ref="C202" r:id="rId190" display="https://cve.mitre.org/cgi-bin/cvename.cgi?name=CVE-2015-3415" xr:uid="{97969459-0F70-594B-AEAC-5C179B1DF8DD}"/>
    <hyperlink ref="A203" r:id="rId191" display="https://github.com/HexHive/magma/tree/master/targets/sqlite3/patches/bugs/SQL017.patch" xr:uid="{67CC9473-12D3-7F40-99D1-D483333EE7B6}"/>
    <hyperlink ref="C203" r:id="rId192" display="https://cve.mitre.org/cgi-bin/cvename.cgi?name=CVE-2020-9327" xr:uid="{F2ADF42B-0D94-3E44-A1AD-8819E78559FA}"/>
    <hyperlink ref="A204" r:id="rId193" display="https://github.com/HexHive/magma/tree/master/targets/sqlite3/patches/bugs/SQL018.patch" xr:uid="{0F9C5586-99A0-9A4A-A855-B3C4D1A6A1F0}"/>
    <hyperlink ref="C204" r:id="rId194" display="https://cve.mitre.org/cgi-bin/cvename.cgi?name=CVE-2015-3414" xr:uid="{D317FDDB-5E3E-5F4C-A00E-8C2B4BC7CABA}"/>
    <hyperlink ref="A205" r:id="rId195" display="https://github.com/HexHive/magma/tree/master/targets/sqlite3/patches/bugs/SQL019.patch" xr:uid="{C844F22F-44EE-194A-9EC1-1E6E919EDE63}"/>
    <hyperlink ref="C205" r:id="rId196" display="https://cve.mitre.org/cgi-bin/cvename.cgi?name=CVE-2015-3416" xr:uid="{817BD8DC-9877-754B-BBBD-6987C25730EA}"/>
    <hyperlink ref="A206" r:id="rId197" display="https://github.com/HexHive/magma/tree/master/targets/sqlite3/patches/bugs/SQL020.patch" xr:uid="{92F4C72C-8ADB-B341-A5F5-7F82B3488FC9}"/>
    <hyperlink ref="C206" r:id="rId198" display="https://cve.mitre.org/cgi-bin/cvename.cgi?name=CVE-2019-19880" xr:uid="{BA44B8FF-7183-544F-BB35-E85B13E12517}"/>
    <hyperlink ref="A130" r:id="rId199" display="https://github.com/HexHive/magma/tree/master/targets/php/patches/bugs/PHP001.patch" xr:uid="{2208091D-4496-104C-AFF7-492367CBD2DE}"/>
    <hyperlink ref="C130" r:id="rId200" display="https://cve.mitre.org/cgi-bin/cvename.cgi?name=CVE-2019-9021" xr:uid="{3DFCE30F-49F4-B740-A7C5-F4D99D0EC7AB}"/>
    <hyperlink ref="A131" r:id="rId201" display="https://github.com/HexHive/magma/tree/master/targets/php/patches/bugs/PHP002.patch" xr:uid="{1DC1B98D-4704-A042-B9B4-DD144C888F60}"/>
    <hyperlink ref="C131" r:id="rId202" display="https://cve.mitre.org/cgi-bin/cvename.cgi?name=CVE-2019-9641" xr:uid="{B49880F7-5057-E84D-96D3-0C086C711A9C}"/>
    <hyperlink ref="A132" r:id="rId203" display="https://github.com/HexHive/magma/tree/master/targets/php/patches/bugs/PHP003.patch" xr:uid="{ABD1E2B9-F267-4942-8FA8-37B03DB58D89}"/>
    <hyperlink ref="C132" r:id="rId204" display="https://cve.mitre.org/cgi-bin/cvename.cgi?name=CVE-2019-11041" xr:uid="{8D65C9AB-CB9B-2A41-95A6-217ACFA92915}"/>
    <hyperlink ref="A133" r:id="rId205" display="https://github.com/HexHive/magma/tree/master/targets/php/patches/bugs/PHP004.patch" xr:uid="{D8422314-1633-0C40-8CBF-96FD37CB465C}"/>
    <hyperlink ref="C133" r:id="rId206" display="https://cve.mitre.org/cgi-bin/cvename.cgi?name=CVE-2019-11034" xr:uid="{8658AC5B-D09C-6F4E-AE15-30B556CDD17B}"/>
    <hyperlink ref="A134" r:id="rId207" display="https://github.com/HexHive/magma/tree/master/targets/php/patches/bugs/PHP005.patch" xr:uid="{92D92956-D860-7C4D-A63D-20C381AB9000}"/>
    <hyperlink ref="C134" r:id="rId208" display="https://cve.mitre.org/cgi-bin/cvename.cgi?name=CVE-2019-11039" xr:uid="{3BAB3E1B-FB8A-D04B-B8DC-151B0B73B0B7}"/>
    <hyperlink ref="A135" r:id="rId209" display="https://github.com/HexHive/magma/tree/master/targets/php/patches/bugs/PHP006.patch" xr:uid="{7F9030C8-39DC-CA49-AFD3-DD212D30015F}"/>
    <hyperlink ref="C135" r:id="rId210" display="https://cve.mitre.org/cgi-bin/cvename.cgi?name=CVE-2019-11040" xr:uid="{71BEDF29-8CBD-2849-A6FB-1BEEB15C905C}"/>
    <hyperlink ref="A136" r:id="rId211" display="https://github.com/HexHive/magma/tree/master/targets/php/patches/bugs/PHP007.patch" xr:uid="{275E1A15-9913-2E4D-91E5-E12E2A0360B1}"/>
    <hyperlink ref="C136" r:id="rId212" display="https://cve.mitre.org/cgi-bin/cvename.cgi?name=CVE-2018-20783" xr:uid="{18637484-8BDF-614E-925A-1871A292F0CA}"/>
    <hyperlink ref="A143" r:id="rId213" display="https://github.com/HexHive/magma/tree/master/targets/php/patches/bugs/PHP008.patch" xr:uid="{D3E007CB-21C9-704A-B1F1-2AA20E3E3860}"/>
    <hyperlink ref="C143" r:id="rId214" display="https://cve.mitre.org/cgi-bin/cvename.cgi?name=CVE-2019-9022" xr:uid="{B9D10749-9B39-CA45-A8E5-56A73DD68A73}"/>
    <hyperlink ref="A144" r:id="rId215" display="https://github.com/HexHive/magma/tree/master/targets/php/patches/bugs/PHP009.patch" xr:uid="{2BC456AA-E996-CD43-A10A-4DC721CB87A2}"/>
    <hyperlink ref="C144" r:id="rId216" display="https://cve.mitre.org/cgi-bin/cvename.cgi?name=CVE-2019-9638" xr:uid="{01744F6C-90DE-764D-B7C3-7F6444BA21D8}"/>
    <hyperlink ref="A145" r:id="rId217" display="https://github.com/HexHive/magma/tree/master/targets/php/patches/bugs/PHP010.patch" xr:uid="{323B7628-5BDF-9843-9B7E-D426FF4A35B7}"/>
    <hyperlink ref="C145" r:id="rId218" display="https://cve.mitre.org/cgi-bin/cvename.cgi?name=CVE-2019-9640" xr:uid="{81402256-C12D-5B4D-9F3B-95E7AE902BB0}"/>
    <hyperlink ref="A148" r:id="rId219" display="https://github.com/HexHive/magma/tree/master/targets/php/patches/bugs/PHP011.patch" xr:uid="{F9112991-72BD-9D40-BD76-8B27E82AEA71}"/>
    <hyperlink ref="C148" r:id="rId220" display="https://cve.mitre.org/cgi-bin/cvename.cgi?name=CVE-2018-14883" xr:uid="{7C7DC42E-A8DE-094E-A4D5-C0EE65CC722D}"/>
    <hyperlink ref="A149" r:id="rId221" display="https://github.com/HexHive/magma/tree/master/targets/php/patches/bugs/PHP012.patch" xr:uid="{53C869B8-21B6-3349-BBA5-E5C80503DA00}"/>
    <hyperlink ref="C149" r:id="rId222" display="https://cve.mitre.org/cgi-bin/cvename.cgi?name=CVE-2018-7584" xr:uid="{251FE4D4-6A54-F047-A5EF-E06BA3F154FE}"/>
    <hyperlink ref="A150" r:id="rId223" display="https://github.com/HexHive/magma/tree/master/targets/php/patches/bugs/PHP013.patch" xr:uid="{30D5EE6D-8229-2848-8DBF-FFBF601E62EF}"/>
    <hyperlink ref="C150" r:id="rId224" display="https://cve.mitre.org/cgi-bin/cvename.cgi?name=CVE-2017-11362" xr:uid="{CA67AA1B-90B0-3945-892C-56755E00BDED}"/>
    <hyperlink ref="A151" r:id="rId225" display="https://github.com/HexHive/magma/tree/master/targets/php/patches/bugs/PHP014.patch" xr:uid="{79A11409-5F02-554F-9249-D4652DC6A0A0}"/>
    <hyperlink ref="C151" r:id="rId226" display="https://cve.mitre.org/cgi-bin/cvename.cgi?name=CVE-2014-9912" xr:uid="{68B656E3-A7E2-2044-A30C-106C59E7A844}"/>
    <hyperlink ref="A152" r:id="rId227" display="https://github.com/HexHive/magma/tree/master/targets/php/patches/bugs/PHP015.patch" xr:uid="{2ABDDD96-E7FB-8E43-B657-57DD6558140C}"/>
    <hyperlink ref="C152" r:id="rId228" display="https://cve.mitre.org/cgi-bin/cvename.cgi?name=CVE-2016-10159" xr:uid="{18714232-F68D-F640-8A54-5A270B0F33B6}"/>
    <hyperlink ref="A17" r:id="rId229" display="https://github.com/HexHive/magma/tree/master/targets/libsndfile/patches/bugs/SND001.patch" xr:uid="{1CF09082-BCA2-9241-A88E-5C09A7121E69}"/>
    <hyperlink ref="C17" r:id="rId230" display="https://cve.mitre.org/cgi-bin/cvename.cgi?name=CVE-2011-2696" xr:uid="{D40A3D84-5AFE-6148-8788-C86E1ED235E0}"/>
    <hyperlink ref="A18" r:id="rId231" display="https://github.com/HexHive/magma/tree/master/targets/libsndfile/patches/bugs/SND002.patch" xr:uid="{ED744BB9-035B-864D-AF62-F2888F3D78FD}"/>
    <hyperlink ref="C18" r:id="rId232" display="https://cve.mitre.org/cgi-bin/cvename.cgi?name=CVE-2014-9496" xr:uid="{370E9EFB-8037-5641-A021-DFB36608F8FE}"/>
    <hyperlink ref="A19" r:id="rId233" display="https://github.com/HexHive/magma/tree/master/targets/libsndfile/patches/bugs/SND004.patch" xr:uid="{CB7DFE9F-CE99-2F4A-890E-213EF3556287}"/>
    <hyperlink ref="C19" r:id="rId234" display="https://cve.mitre.org/cgi-bin/cvename.cgi?name=CVE-2014-9756" xr:uid="{887EAFDB-1C6B-024C-905E-2B3239062EBC}"/>
    <hyperlink ref="A20" r:id="rId235" display="https://github.com/HexHive/magma/tree/master/targets/libsndfile/patches/bugs/SND005.patch" xr:uid="{571B739E-5039-3541-8D1D-0E12D5870178}"/>
    <hyperlink ref="C20" r:id="rId236" display="https://cve.mitre.org/cgi-bin/cvename.cgi?name=CVE-2017-6892" xr:uid="{D77A1823-09F2-814C-BE0E-1B2FCFA613D8}"/>
    <hyperlink ref="A21" r:id="rId237" display="https://github.com/HexHive/magma/tree/master/targets/libsndfile/patches/bugs/SND006.patch" xr:uid="{2CC7D376-FAA7-FA44-9B43-65AEFA9E6CF6}"/>
    <hyperlink ref="C21" r:id="rId238" display="https://cve.mitre.org/cgi-bin/cvename.cgi?name=CVE-2017-8361" xr:uid="{82706EFE-919B-8B45-9682-99CFF0B00D28}"/>
    <hyperlink ref="A22" r:id="rId239" display="https://github.com/HexHive/magma/tree/master/targets/libsndfile/patches/bugs/SND007.patch" xr:uid="{9E7A3F90-5423-E84F-8816-DF4EBC328657}"/>
    <hyperlink ref="C22" r:id="rId240" display="https://cve.mitre.org/cgi-bin/cvename.cgi?name=CVE-2017-8363" xr:uid="{F838A8C0-024A-BA40-B2CE-DCFDD8422242}"/>
    <hyperlink ref="A23" r:id="rId241" display="https://github.com/HexHive/magma/tree/master/targets/libsndfile/patches/bugs/SND010.patch" xr:uid="{71092C2F-E790-6844-AD9F-F7B14B84362A}"/>
    <hyperlink ref="C23" r:id="rId242" display="https://cve.mitre.org/cgi-bin/cvename.cgi?name=CVE-2017-12562" xr:uid="{335FC260-022B-7443-A24A-14B773BD65A9}"/>
    <hyperlink ref="A26" r:id="rId243" display="https://github.com/HexHive/magma/tree/master/targets/libsndfile/patches/bugs/SND012.patch" xr:uid="{8A5FD2E4-D3D5-0944-97DA-C4725A74D422}"/>
    <hyperlink ref="C26" r:id="rId244" display="https://cve.mitre.org/cgi-bin/cvename.cgi?name=CVE-2017-12562" xr:uid="{F0A3BE0F-A8AE-F24D-8DA3-3F647293E9C0}"/>
    <hyperlink ref="A27" r:id="rId245" display="https://github.com/HexHive/magma/tree/master/targets/libsndfile/patches/bugs/SND013.patch" xr:uid="{99555F2B-49C2-324A-9BF5-176CA9BF2FDD}"/>
    <hyperlink ref="C27" r:id="rId246" display="https://cve.mitre.org/cgi-bin/cvename.cgi?name=CVE-2017-12562" xr:uid="{D2FA9B31-2CB6-8149-9299-D80905160E45}"/>
    <hyperlink ref="A28" r:id="rId247" display="https://github.com/HexHive/magma/tree/master/targets/libsndfile/patches/bugs/SND014.patch" xr:uid="{9B2607FB-EE2A-8848-9B89-86579BCFED66}"/>
    <hyperlink ref="C28" r:id="rId248" display="https://cve.mitre.org/cgi-bin/cvename.cgi?name=CVE-2017-14245" xr:uid="{5CC4247B-7682-544D-9882-5063D7EDF83F}"/>
    <hyperlink ref="A29" r:id="rId249" display="https://github.com/HexHive/magma/tree/master/targets/libsndfile/patches/bugs/SND015.patch" xr:uid="{64CA1FC6-A904-0E43-8C52-53755B407F56}"/>
    <hyperlink ref="C29" r:id="rId250" display="https://cve.mitre.org/cgi-bin/cvename.cgi?name=CVE-2018-19662" xr:uid="{3B47AA34-A634-7D4F-82D9-DCE91E032958}"/>
    <hyperlink ref="A30" r:id="rId251" display="https://github.com/HexHive/magma/tree/master/targets/libsndfile/patches/bugs/SND016.patch" xr:uid="{117B7089-8210-E64E-B23F-2C539E018902}"/>
    <hyperlink ref="C30" r:id="rId252" display="https://cve.mitre.org/cgi-bin/cvename.cgi?name=CVE-2017-14634" xr:uid="{BBD6653F-4097-C846-B252-7F620BE5F907}"/>
    <hyperlink ref="A31" r:id="rId253" display="https://github.com/HexHive/magma/tree/master/targets/libsndfile/patches/bugs/SND017.patch" xr:uid="{E8AEF0DA-7D67-AD48-BEFB-984F00897F3B}"/>
    <hyperlink ref="C31" r:id="rId254" display="https://github.com/libsndfile/libsndfile/commit/a8ab5b3" xr:uid="{3E232D9D-5C4B-934B-8615-C2DD41E31E25}"/>
    <hyperlink ref="A32" r:id="rId255" display="https://github.com/HexHive/magma/tree/master/targets/libsndfile/patches/bugs/SND020.patch" xr:uid="{9CB823D2-F1B1-4942-BE6D-8A34A006719D}"/>
    <hyperlink ref="C32" r:id="rId256" display="https://github.com/libsndfile/libsndfile/commit/a8ab5b3" xr:uid="{036A3181-C3B6-644A-8976-011F81F6D854}"/>
    <hyperlink ref="A33" r:id="rId257" display="https://github.com/HexHive/magma/tree/master/targets/libsndfile/patches/bugs/SND022.patch" xr:uid="{51A82402-1BD0-3440-8020-65FEB52E5CF6}"/>
    <hyperlink ref="C33" r:id="rId258" display="https://cve.mitre.org/cgi-bin/cvename.cgi?name=CVE-2017-14246" xr:uid="{94254E98-F141-6946-83E5-FDE481900EEC}"/>
    <hyperlink ref="A34" r:id="rId259" display="https://github.com/HexHive/magma/tree/master/targets/libsndfile/patches/bugs/SND023.patch" xr:uid="{E418A61D-DB5E-F44D-88F8-2D7D2E6F2091}"/>
    <hyperlink ref="C34" r:id="rId260" display="https://cve.mitre.org/cgi-bin/cvename.cgi?name=CVE-2018-19661" xr:uid="{65DC2096-D2C5-A947-97CE-042BB7C07811}"/>
    <hyperlink ref="A35" r:id="rId261" display="https://github.com/HexHive/magma/tree/master/targets/libsndfile/patches/bugs/SND024.patch" xr:uid="{90144686-EA6D-1A45-BDEA-04F573CA30B2}"/>
    <hyperlink ref="C35" r:id="rId262" display="https://cve.mitre.org/cgi-bin/cvename.cgi?name=CVE-2017-8363" xr:uid="{CA77BDF2-235E-1748-B6F3-A5D97A44B174}"/>
    <hyperlink ref="A36" r:id="rId263" display="https://github.com/HexHive/magma/tree/master/targets/libsndfile/patches/bugs/SND025.patch" xr:uid="{EB20761E-6E07-174F-9B0A-D7E6B6647A91}"/>
    <hyperlink ref="C36" r:id="rId264" display="https://cve.mitre.org/cgi-bin/cvename.cgi?name=CVE-2018-19758" xr:uid="{6CB2DAB2-F049-3247-86B6-0E6435758C46}"/>
    <hyperlink ref="A6" r:id="rId265" display="https://github.com/HexHive/magma/tree/master/targets/libpng/patches/bugs/PNG002.patch" xr:uid="{ACBDB665-305C-4347-9E34-D0D001AC7C00}"/>
    <hyperlink ref="C6" r:id="rId266" display="https://cve.mitre.org/cgi-bin/cvename.cgi?name=CVE-2019-7317" xr:uid="{2B6E4AB2-D4CE-F545-989F-D05F11BB7C8F}"/>
    <hyperlink ref="A7" r:id="rId267" display="https://github.com/HexHive/magma/tree/master/targets/libpng/patches/bugs/PNG002.patch" xr:uid="{68EBE195-2874-DF4A-B9AA-F794B3A8EA4A}"/>
    <hyperlink ref="C7" r:id="rId268" display="https://cve.mitre.org/cgi-bin/cvename.cgi?name=CVE-2019-7317" xr:uid="{A5345941-D615-1542-ACBA-6FE3136E94AB}"/>
    <hyperlink ref="A8" r:id="rId269" display="https://github.com/HexHive/magma/tree/master/targets/libpng/patches/bugs/PNG003.patch" xr:uid="{2715E3CB-EBD6-2E40-A839-536C3E69A2F8}"/>
    <hyperlink ref="C8" r:id="rId270" display="https://cve.mitre.org/cgi-bin/cvename.cgi?name=CVE-2015-8472" xr:uid="{08EFCAFD-07DE-EC40-BA8E-9D68D9203DFB}"/>
    <hyperlink ref="A11" r:id="rId271" display="https://github.com/HexHive/magma/tree/master/targets/libpng/patches/bugs/PNG004.patch" xr:uid="{F85CDFED-1F1C-1441-86BB-00A3E3B9B6AF}"/>
    <hyperlink ref="C11" r:id="rId272" display="https://cve.mitre.org/cgi-bin/cvename.cgi?name=CVE-2015-0973" xr:uid="{48DC8796-2921-EC41-9361-F04B3C378E3F}"/>
    <hyperlink ref="A10" r:id="rId273" display="https://github.com/HexHive/magma/tree/master/targets/libpng/patches/bugs/PNG004.patch" xr:uid="{4E4F27B6-4D1A-F743-B7C3-EA30BFF45EF2}"/>
    <hyperlink ref="C10" r:id="rId274" display="https://cve.mitre.org/cgi-bin/cvename.cgi?name=CVE-2015-0973" xr:uid="{742DB0AF-5910-7544-B274-2C2F531BAB88}"/>
    <hyperlink ref="A15" r:id="rId275" display="https://github.com/HexHive/magma/tree/master/targets/libpng/patches/bugs/PNG007.patch" xr:uid="{A8C8A5CB-4104-804B-B959-D14D41DEE7A6}"/>
    <hyperlink ref="C15" r:id="rId276" display="https://cve.mitre.org/cgi-bin/cvename.cgi?name=CVE-2013-6954" xr:uid="{BC6CA126-5488-6A45-B8BB-E8E3087F33AD}"/>
    <hyperlink ref="A25" r:id="rId277" display="https://github.com/HexHive/magma/tree/master/targets/libsndfile/patches/bugs/SND012.patch" xr:uid="{69562DEC-D55C-A941-AB80-5F7F38DBDC24}"/>
    <hyperlink ref="C25" r:id="rId278" display="https://cve.mitre.org/cgi-bin/cvename.cgi?name=CVE-2017-12562" xr:uid="{E36BE59D-7665-174B-9CF8-59339A92A534}"/>
    <hyperlink ref="A24" r:id="rId279" display="https://github.com/HexHive/magma/tree/master/targets/libsndfile/patches/bugs/SND012.patch" xr:uid="{CDF109C2-74AE-624E-B78B-1E4564777A3A}"/>
    <hyperlink ref="C24" r:id="rId280" display="https://cve.mitre.org/cgi-bin/cvename.cgi?name=CVE-2017-12562" xr:uid="{F3CC3678-FF70-2B44-A1EA-CA9BA4419D71}"/>
    <hyperlink ref="A38" r:id="rId281" display="https://github.com/HexHive/magma/tree/master/targets/libtiff/patches/bugs/TIF001.patch" xr:uid="{8B58BE1B-1331-6A4A-B9AE-2CA5927BCB7F}"/>
    <hyperlink ref="C38" r:id="rId282" display="https://cve.mitre.org/cgi-bin/cvename.cgi?name=CVE-2016-9535" xr:uid="{739524BB-AE69-B74F-807B-534164D9E569}"/>
    <hyperlink ref="A39" r:id="rId283" display="https://github.com/HexHive/magma/tree/master/targets/libtiff/patches/bugs/TIF001.patch" xr:uid="{C5AEB057-9649-424B-A15E-C72A3AEA77F4}"/>
    <hyperlink ref="A40" r:id="rId284" display="https://github.com/HexHive/magma/tree/master/targets/libtiff/patches/bugs/TIF001.patch" xr:uid="{BA8DB69B-6CF0-D446-99A7-0CBACE93F2D0}"/>
    <hyperlink ref="A41" r:id="rId285" display="https://github.com/HexHive/magma/tree/master/targets/libtiff/patches/bugs/TIF001.patch" xr:uid="{D617CA11-0104-804F-82FF-FA3898A26116}"/>
    <hyperlink ref="A42" r:id="rId286" display="https://github.com/HexHive/magma/tree/master/targets/libtiff/patches/bugs/TIF001.patch" xr:uid="{826140A3-B69F-524D-AED4-0425E3D9BC0D}"/>
    <hyperlink ref="A43" r:id="rId287" display="https://github.com/HexHive/magma/tree/master/targets/libtiff/patches/bugs/TIF001.patch" xr:uid="{1DA3195D-CD5B-A048-8A00-FB27BDEB40EE}"/>
    <hyperlink ref="A44" r:id="rId288" display="https://github.com/HexHive/magma/tree/master/targets/libtiff/patches/bugs/TIF001.patch" xr:uid="{7BFA06EE-7BD0-9447-9943-7A47546A30D4}"/>
    <hyperlink ref="A45" r:id="rId289" display="https://github.com/HexHive/magma/tree/master/targets/libtiff/patches/bugs/TIF001.patch" xr:uid="{54D0110C-3B78-164B-8228-D0D172326F36}"/>
    <hyperlink ref="A46" r:id="rId290" display="https://github.com/HexHive/magma/tree/master/targets/libtiff/patches/bugs/TIF001.patch" xr:uid="{FEA9D6A7-24C4-3F4D-BDDC-3ED7CB361D4B}"/>
    <hyperlink ref="C39" r:id="rId291" display="https://cve.mitre.org/cgi-bin/cvename.cgi?name=CVE-2016-9535" xr:uid="{1CBB792B-6D0F-5641-BDE5-DE1F305589A2}"/>
    <hyperlink ref="C40" r:id="rId292" display="https://cve.mitre.org/cgi-bin/cvename.cgi?name=CVE-2016-9535" xr:uid="{029E46BC-975F-464B-A9CF-18A1D657D7D7}"/>
    <hyperlink ref="C41" r:id="rId293" display="https://cve.mitre.org/cgi-bin/cvename.cgi?name=CVE-2016-9535" xr:uid="{10745B96-EAB6-0240-9A95-BC7316FF9744}"/>
    <hyperlink ref="C42" r:id="rId294" display="https://cve.mitre.org/cgi-bin/cvename.cgi?name=CVE-2016-9535" xr:uid="{E3CADCFA-0DC2-1E42-A451-8B5CF9C9C679}"/>
    <hyperlink ref="C43" r:id="rId295" display="https://cve.mitre.org/cgi-bin/cvename.cgi?name=CVE-2016-9535" xr:uid="{59E07742-0DD3-954D-9991-037B5D2A61F6}"/>
    <hyperlink ref="C44" r:id="rId296" display="https://cve.mitre.org/cgi-bin/cvename.cgi?name=CVE-2016-9535" xr:uid="{AE639614-34FF-D840-9A35-6E5F20AF77CA}"/>
    <hyperlink ref="C45" r:id="rId297" display="https://cve.mitre.org/cgi-bin/cvename.cgi?name=CVE-2016-9535" xr:uid="{01E6C5D0-40F1-B641-8BF5-46E1D0D8B9D2}"/>
    <hyperlink ref="C46" r:id="rId298" display="https://cve.mitre.org/cgi-bin/cvename.cgi?name=CVE-2016-9535" xr:uid="{690D6FC7-78F7-1244-BD96-2F3298789AC9}"/>
    <hyperlink ref="A52" r:id="rId299" display="https://github.com/HexHive/magma/tree/master/targets/libtiff/patches/bugs/TIF007.patch" xr:uid="{0698D95B-5825-F347-932C-651CC04A3DAF}"/>
    <hyperlink ref="C52" r:id="rId300" display="https://cve.mitre.org/cgi-bin/cvename.cgi?name=CVE-2016-10270" xr:uid="{DF5AF215-7884-6F4A-92B4-79E00F7E9D5C}"/>
    <hyperlink ref="A54" r:id="rId301" display="https://github.com/HexHive/magma/tree/master/targets/libtiff/patches/bugs/TIF008.patch" xr:uid="{10A9A4E3-39F2-1040-A986-AFF35831D170}"/>
    <hyperlink ref="C54" r:id="rId302" display="https://cve.mitre.org/cgi-bin/cvename.cgi?name=CVE-2015-8784" xr:uid="{629A7993-3E19-C646-B857-A2F7EEBEB1B6}"/>
    <hyperlink ref="A56" r:id="rId303" display="https://github.com/HexHive/magma/tree/master/targets/libtiff/patches/bugs/TIF009.patch" xr:uid="{C187CBFC-4B70-4B45-928A-3FD68DA7D241}"/>
    <hyperlink ref="C56" r:id="rId304" display="https://cve.mitre.org/cgi-bin/cvename.cgi?name=CVE-2019-7663" xr:uid="{0D45F7EA-1334-6940-AA3B-19A7753B0A19}"/>
    <hyperlink ref="A60" r:id="rId305" display="https://github.com/HexHive/magma/tree/master/targets/libtiff/patches/bugs/TIF012.patch" xr:uid="{83AD42CF-660B-7B44-9884-74C04389E5D1}"/>
    <hyperlink ref="C60" r:id="rId306" display="https://cve.mitre.org/cgi-bin/cvename.cgi?name=CVE-2016-3658" xr:uid="{D61F42A8-4954-6A4A-9BF4-8F1CB26C743F}"/>
    <hyperlink ref="A65" r:id="rId307" display="https://github.com/HexHive/magma/tree/master/targets/libxml2/patches/bugs/XML001.patch" xr:uid="{C74C088E-36E6-6F42-909D-3C1BF2299A3C}"/>
    <hyperlink ref="C65" r:id="rId308" display="https://cve.mitre.org/cgi-bin/cvename.cgi?name=CVE-2017-9047" xr:uid="{13925655-9AA1-6B4F-823E-7C3DE7F4B804}"/>
    <hyperlink ref="A66" r:id="rId309" display="https://github.com/HexHive/magma/tree/master/targets/libxml2/patches/bugs/XML001.patch" xr:uid="{95B6CD65-ACCF-6F47-BC37-5C1009FED8A2}"/>
    <hyperlink ref="C66" r:id="rId310" display="https://cve.mitre.org/cgi-bin/cvename.cgi?name=CVE-2017-9047" xr:uid="{4642E2C5-A967-C44C-B78E-2E95D4C2AEB9}"/>
    <hyperlink ref="A71" r:id="rId311" display="https://github.com/HexHive/magma/tree/master/targets/libxml2/patches/bugs/XML005.patch" xr:uid="{C111F6FD-6407-9F47-B509-8504F561DA0C}"/>
    <hyperlink ref="C71" r:id="rId312" display="https://cve.mitre.org/cgi-bin/cvename.cgi?name=CVE-2017-5130" xr:uid="{6E9E1DAF-BFE7-8A48-905F-8A32606B4F92}"/>
    <hyperlink ref="A72" r:id="rId313" display="https://github.com/HexHive/magma/tree/master/targets/libxml2/patches/bugs/XML005.patch" xr:uid="{E30857A7-8046-7B46-9483-EC9C2961DE2C}"/>
    <hyperlink ref="C72" r:id="rId314" display="https://cve.mitre.org/cgi-bin/cvename.cgi?name=CVE-2017-5130" xr:uid="{E434FE4E-082B-534D-88A9-D7F21B8AC685}"/>
    <hyperlink ref="A73" r:id="rId315" display="https://github.com/HexHive/magma/tree/master/targets/libxml2/patches/bugs/XML005.patch" xr:uid="{AF6C2514-70F3-8444-9E8E-15EEB226C8FF}"/>
    <hyperlink ref="C73" r:id="rId316" display="https://cve.mitre.org/cgi-bin/cvename.cgi?name=CVE-2017-5130" xr:uid="{BA1CE578-7BA3-674E-B49C-A2C2B37F16A4}"/>
    <hyperlink ref="A80" r:id="rId317" display="https://github.com/HexHive/magma/tree/master/targets/libxml2/patches/bugs/XML011.patch" xr:uid="{2840C89A-8BB2-5443-ACEB-E1671C57774E}"/>
    <hyperlink ref="C80" r:id="rId318" display="https://cve.mitre.org/cgi-bin/cvename.cgi?name=CVE-2016-1834" xr:uid="{9130A3D8-5639-DD4E-995A-077F0743FE2A}"/>
    <hyperlink ref="A81" r:id="rId319" display="https://github.com/HexHive/magma/tree/master/targets/libxml2/patches/bugs/XML011.patch" xr:uid="{11BCFE09-4D1E-FE4D-8263-05CD41911620}"/>
    <hyperlink ref="C81" r:id="rId320" display="https://cve.mitre.org/cgi-bin/cvename.cgi?name=CVE-2016-1834" xr:uid="{D9972BEF-17F1-CC41-94F6-1D1088C3C147}"/>
    <hyperlink ref="A84" r:id="rId321" display="https://github.com/HexHive/magma/tree/master/targets/libxml2/patches/bugs/XML013.patch" xr:uid="{88CC4265-8193-6D4C-B094-BBFC0D6098FC}"/>
    <hyperlink ref="C84" r:id="rId322" display="https://cve.mitre.org/cgi-bin/cvename.cgi?name=CVE-2016-1837" xr:uid="{73E5633D-5329-544E-9100-9B70F75A62EB}"/>
    <hyperlink ref="A85" r:id="rId323" display="https://github.com/HexHive/magma/tree/master/targets/libxml2/patches/bugs/XML013.patch" xr:uid="{9C2CFA00-76EC-FC44-A77B-451E0A009A81}"/>
    <hyperlink ref="C85" r:id="rId324" display="https://cve.mitre.org/cgi-bin/cvename.cgi?name=CVE-2016-1837" xr:uid="{B1D3EA01-9017-9948-9AC4-31FD6B3C90CB}"/>
    <hyperlink ref="A86" r:id="rId325" display="https://github.com/HexHive/magma/tree/master/targets/libxml2/patches/bugs/XML013.patch" xr:uid="{286784E8-859B-C94D-A6B8-AE2232247A1B}"/>
    <hyperlink ref="C86" r:id="rId326" display="https://cve.mitre.org/cgi-bin/cvename.cgi?name=CVE-2016-1837" xr:uid="{D682FFDB-39D9-7544-B969-0792D16CF412}"/>
    <hyperlink ref="A90" r:id="rId327" display="https://github.com/HexHive/magma/tree/master/targets/libxml2/patches/bugs/XML016.patch" xr:uid="{2D37A05B-A745-EB49-AE6C-B1BC7B1DB8F1}"/>
    <hyperlink ref="C90" r:id="rId328" display="https://cve.mitre.org/cgi-bin/cvename.cgi?name=CVE-2016-1840" xr:uid="{16C27D62-2D71-4444-BB44-78DCFE1EFFDF}"/>
    <hyperlink ref="A112" r:id="rId329" display="https://github.com/HexHive/magma/tree/master/targets/openssl/patches/bugs/SSL008.patch" xr:uid="{994699FE-F7E8-594D-8697-CDAAF954079C}"/>
    <hyperlink ref="C112" r:id="rId330" display="https://cve.mitre.org/cgi-bin/cvename.cgi?name=CVE-2017-3730" xr:uid="{956C73BC-EE4E-DE47-A12E-F1F1A117CD5C}"/>
    <hyperlink ref="A121" r:id="rId331" display="https://github.com/HexHive/magma/tree/master/targets/openssl/patches/bugs/SSL015.patch" xr:uid="{7D3FE480-BB5B-7F42-925E-9FAB1B91EAA4}"/>
    <hyperlink ref="C121" r:id="rId332" display="https://cve.mitre.org/cgi-bin/cvename.cgi?name=CVE-2015-0289" xr:uid="{9BCB3CBB-278A-5D47-AEF8-64EB4FF576D0}"/>
    <hyperlink ref="A122" r:id="rId333" display="https://github.com/HexHive/magma/tree/master/targets/openssl/patches/bugs/SSL015.patch" xr:uid="{13AB6966-B8CE-9B4B-9160-79A3F330BE2B}"/>
    <hyperlink ref="C122" r:id="rId334" display="https://cve.mitre.org/cgi-bin/cvename.cgi?name=CVE-2015-0289" xr:uid="{DE019EA3-3217-8145-BB9D-9FB8049D8637}"/>
    <hyperlink ref="A123" r:id="rId335" display="https://github.com/HexHive/magma/tree/master/targets/openssl/patches/bugs/SSL015.patch" xr:uid="{1D38A4CC-393B-1048-A65F-81D26927A953}"/>
    <hyperlink ref="C123" r:id="rId336" display="https://cve.mitre.org/cgi-bin/cvename.cgi?name=CVE-2015-0289" xr:uid="{71CE84A1-6659-5244-B28B-6C9A1E1E9C11}"/>
    <hyperlink ref="A116" r:id="rId337" display="https://github.com/HexHive/magma/tree/master/targets/openssl/patches/bugs/SSL011.patch" xr:uid="{EE166052-013D-2B4E-8350-EC69370F3DA7}"/>
    <hyperlink ref="C116" r:id="rId338" display="https://cve.mitre.org/cgi-bin/cvename.cgi?name=CVE-2015-1790" xr:uid="{59D59CCF-BCD3-FB45-9611-5F8E456C2551}"/>
    <hyperlink ref="A126" r:id="rId339" display="https://github.com/HexHive/magma/tree/master/targets/openssl/patches/bugs/SSL017.patch" xr:uid="{CBE1B7AC-02D7-584F-AE8C-80119907B6D2}"/>
    <hyperlink ref="C126" r:id="rId340" display="https://cve.mitre.org/cgi-bin/cvename.cgi?name=CVE-2016-7052" xr:uid="{85C6BF58-7187-9F4E-8666-501D7C731909}"/>
    <hyperlink ref="A137" r:id="rId341" display="https://github.com/HexHive/magma/tree/master/targets/php/patches/bugs/PHP007.patch" xr:uid="{2F01C200-98AE-CC48-BCF5-007FACEAD55A}"/>
    <hyperlink ref="C137" r:id="rId342" display="https://cve.mitre.org/cgi-bin/cvename.cgi?name=CVE-2018-20783" xr:uid="{8C778C87-3DDD-3346-A2A6-79726F8BDFE5}"/>
    <hyperlink ref="A138" r:id="rId343" display="https://github.com/HexHive/magma/tree/master/targets/php/patches/bugs/PHP007.patch" xr:uid="{83B826EB-CC7A-0A4B-B22A-2EE1EA4E73AE}"/>
    <hyperlink ref="C138" r:id="rId344" display="https://cve.mitre.org/cgi-bin/cvename.cgi?name=CVE-2018-20783" xr:uid="{708B1D7D-FE12-AF4F-B1B2-6348139238A7}"/>
    <hyperlink ref="A139" r:id="rId345" display="https://github.com/HexHive/magma/tree/master/targets/php/patches/bugs/PHP007.patch" xr:uid="{40C93266-AFD2-B74B-913D-9A8181EC0529}"/>
    <hyperlink ref="C139" r:id="rId346" display="https://cve.mitre.org/cgi-bin/cvename.cgi?name=CVE-2018-20783" xr:uid="{0F3BA814-073C-D64F-84AB-06A5E2F052DF}"/>
    <hyperlink ref="A140" r:id="rId347" display="https://github.com/HexHive/magma/tree/master/targets/php/patches/bugs/PHP007.patch" xr:uid="{C2584DB9-BD83-6D43-AE2B-D5F1DEB85DBD}"/>
    <hyperlink ref="C140" r:id="rId348" display="https://cve.mitre.org/cgi-bin/cvename.cgi?name=CVE-2018-20783" xr:uid="{F24685E7-4AAA-5E4B-BB11-C5ECD9E62044}"/>
    <hyperlink ref="A141" r:id="rId349" display="https://github.com/HexHive/magma/tree/master/targets/php/patches/bugs/PHP007.patch" xr:uid="{C6AE4B71-41AF-A647-99C1-B61BD3B2B794}"/>
    <hyperlink ref="C141" r:id="rId350" display="https://cve.mitre.org/cgi-bin/cvename.cgi?name=CVE-2018-20783" xr:uid="{E9005F3E-159E-0946-AFF9-DEAFF356DE3B}"/>
    <hyperlink ref="A142" r:id="rId351" display="https://github.com/HexHive/magma/tree/master/targets/php/patches/bugs/PHP007.patch" xr:uid="{73B21E71-254C-A44D-9E1D-C0D74B500B06}"/>
    <hyperlink ref="C142" r:id="rId352" display="https://cve.mitre.org/cgi-bin/cvename.cgi?name=CVE-2018-20783" xr:uid="{1977041A-DDCA-9946-B110-3428BA8B6F6F}"/>
    <hyperlink ref="A153" r:id="rId353" display="https://github.com/HexHive/magma/tree/master/targets/php/patches/bugs/PHP015.patch" xr:uid="{A9B5B87F-2BA8-944D-8860-E1074E2DA862}"/>
    <hyperlink ref="C153" r:id="rId354" display="https://cve.mitre.org/cgi-bin/cvename.cgi?name=CVE-2016-10159" xr:uid="{88ED3CCF-486C-3140-B387-B0F77031094C}"/>
    <hyperlink ref="A146" r:id="rId355" display="https://github.com/HexHive/magma/tree/master/targets/php/patches/bugs/PHP010.patch" xr:uid="{B5451160-50AE-D041-B0FB-46A3A32CE1F5}"/>
    <hyperlink ref="C146" r:id="rId356" display="https://cve.mitre.org/cgi-bin/cvename.cgi?name=CVE-2019-9640" xr:uid="{9613D578-C2CF-F749-99C1-94438D7045F0}"/>
    <hyperlink ref="A147" r:id="rId357" display="https://github.com/HexHive/magma/tree/master/targets/php/patches/bugs/PHP010.patch" xr:uid="{D5E23F8E-1A18-7F46-A5D0-BD6FB9FABD19}"/>
    <hyperlink ref="C147" r:id="rId358" display="https://cve.mitre.org/cgi-bin/cvename.cgi?name=CVE-2019-9640" xr:uid="{48B6036E-A493-1B4A-9668-293CF29EE206}"/>
    <hyperlink ref="A154" r:id="rId359" display="https://github.com/HexHive/magma/tree/master/targets/php/patches/bugs/PHP016.patch" xr:uid="{9756FB9B-D013-5C4F-B269-3BC4F5E905B9}"/>
    <hyperlink ref="C154" r:id="rId360" display="https://cve.mitre.org/cgi-bin/cvename.cgi?name=CVE-2016-7414" xr:uid="{0599808F-6A3B-0548-9A92-500F5E5A7F06}"/>
    <hyperlink ref="A155" r:id="rId361" display="https://github.com/HexHive/magma/tree/master/targets/php/patches/bugs/PHP016.patch" xr:uid="{D71009AE-A076-8B46-8E0C-6EC1F9989656}"/>
    <hyperlink ref="A156" r:id="rId362" display="https://github.com/HexHive/magma/tree/master/targets/php/patches/bugs/PHP016.patch" xr:uid="{0407FAD5-38B0-AC45-A566-7C4F3DA86E45}"/>
    <hyperlink ref="A157" r:id="rId363" display="https://github.com/HexHive/magma/tree/master/targets/php/patches/bugs/PHP016.patch" xr:uid="{15D82536-2E33-C445-BB14-901F3986964D}"/>
    <hyperlink ref="A158" r:id="rId364" display="https://github.com/HexHive/magma/tree/master/targets/php/patches/bugs/PHP016.patch" xr:uid="{0B3FCB6E-C880-6243-8C63-5744CF149BA8}"/>
    <hyperlink ref="C155" r:id="rId365" display="https://cve.mitre.org/cgi-bin/cvename.cgi?name=CVE-2016-7414" xr:uid="{08E227C4-4FDF-1B4B-B431-5ABA0A96F0AE}"/>
    <hyperlink ref="C156" r:id="rId366" display="https://cve.mitre.org/cgi-bin/cvename.cgi?name=CVE-2016-7414" xr:uid="{7DBD95E9-246D-0C46-B753-A2751B5F57FB}"/>
    <hyperlink ref="C157" r:id="rId367" display="https://cve.mitre.org/cgi-bin/cvename.cgi?name=CVE-2016-7414" xr:uid="{6C6E2A55-4EB8-6E4E-A742-A24C23CB20F7}"/>
    <hyperlink ref="C158" r:id="rId368" display="https://cve.mitre.org/cgi-bin/cvename.cgi?name=CVE-2016-7414" xr:uid="{D613FE53-8F71-1648-928D-5360D2C76441}"/>
    <hyperlink ref="A162" r:id="rId369" display="https://github.com/HexHive/magma/tree/master/targets/poppler/patches/bugs/PDF003.patch" xr:uid="{B58BFA78-F764-0E4A-A17C-874C38844367}"/>
    <hyperlink ref="C162" r:id="rId370" display="https://cve.mitre.org/cgi-bin/cvename.cgi?name=CVE-2017-9865" xr:uid="{E052C153-8E3B-4F43-80EB-B0F29410EB85}"/>
    <hyperlink ref="A183" r:id="rId371" display="https://github.com/HexHive/magma/tree/master/targets/poppler/patches/bugs/PDF021.patch" xr:uid="{C13FC517-8AE4-A34A-B954-D82A75EFED0A}"/>
    <hyperlink ref="C183" r:id="rId372" display="https://cve.mitre.org/cgi-bin/cvename.cgi?name=CVE-2017-14617" xr:uid="{F0D56FFB-9032-324F-9731-C18249FE29A8}"/>
    <hyperlink ref="A184" r:id="rId373" display="https://github.com/HexHive/magma/tree/master/targets/poppler/patches/bugs/PDF022.patch" xr:uid="{2417BACC-4E05-8142-B3CA-63D3502DE8FC}"/>
    <hyperlink ref="C184" r:id="rId374" display="https://cve.mitre.org/cgi-bin/cvename.cgi?name=CVE-2019-12493" xr:uid="{248A999F-F3B1-CC46-BADF-BD21DAC5177D}"/>
    <hyperlink ref="A185" r:id="rId375" display="https://github.com/HexHive/magma/tree/master/targets/poppler/patches/bugs/PDF022.patch" xr:uid="{145A019A-9FE0-B44D-859F-66EA0A2208FA}"/>
    <hyperlink ref="C185" r:id="rId376" display="https://cve.mitre.org/cgi-bin/cvename.cgi?name=CVE-2019-12493" xr:uid="{B36EC910-8D14-D34C-876D-1F711C5DD979}"/>
    <hyperlink ref="A177" r:id="rId377" display="https://github.com/HexHive/magma/tree/master/targets/poppler/patches/bugs/PDF017.patch" xr:uid="{B2C202E1-4B78-7E4F-8B9B-D736074A80C9}"/>
    <hyperlink ref="C177" r:id="rId378" display="https://cve.mitre.org/cgi-bin/cvename.cgi?name=CVE-2019-12360" xr:uid="{E51A3A6C-37B2-1B46-8AA0-6F1163DBBEB1}"/>
    <hyperlink ref="A181" r:id="rId379" display="https://github.com/HexHive/magma/tree/master/targets/poppler/patches/bugs/PDF020.patch" xr:uid="{79C1AFD8-6C38-B14E-964B-016F2DD954BF}"/>
    <hyperlink ref="C181" r:id="rId380" display="https://cve.mitre.org/cgi-bin/cvename.cgi?name=CVE-2017-18267" xr:uid="{87A648B2-B658-E945-9D20-E5CF0593C79D}"/>
    <hyperlink ref="A92" r:id="rId381" display="https://github.com/HexHive/magma/tree/master/targets/lua/patches/bugs/LUA001.patch" xr:uid="{C1CD6F82-7437-9D4C-B8A1-5C5696A7A992}"/>
    <hyperlink ref="C92" r:id="rId382" display="https://cve.mitre.org/cgi-bin/cvename.cgi?name=CVE-2020-24370" xr:uid="{8E7E3507-F8C6-F247-A1E6-3B9A802F8DCF}"/>
    <hyperlink ref="A93" r:id="rId383" display="https://github.com/HexHive/magma/tree/master/targets/lua/patches/bugs/LUA002.patch" xr:uid="{840679BD-4ED1-4540-905B-104F2689FFB7}"/>
    <hyperlink ref="C93" r:id="rId384" display="https://cve.mitre.org/cgi-bin/cvename.cgi?name=CVE-2020-24369" xr:uid="{D357FE4D-58C1-AC44-92ED-D5EE10C6AA2A}"/>
    <hyperlink ref="A94" r:id="rId385" display="https://github.com/HexHive/magma/tree/master/targets/lua/patches/bugs/LUA003.patch" xr:uid="{459AE17C-CC22-E64B-802D-16C19A1C10E2}"/>
    <hyperlink ref="C94" r:id="rId386" display="https://github.com/lua/lua/commit/1ecfbfa" xr:uid="{0D40C055-35C5-CC46-B413-AA8DA3BC82A7}"/>
    <hyperlink ref="A95" r:id="rId387" display="https://github.com/HexHive/magma/tree/master/targets/lua/patches/bugs/LUA004.patch" xr:uid="{86FB9D9B-1FAB-0848-AAF5-499DEF64BE46}"/>
    <hyperlink ref="A96" r:id="rId388" display="https://github.com/HexHive/magma/tree/master/targets/lua/patches/bugs/LUA004.patch" xr:uid="{648C552A-2B3C-9E4F-8CD1-2705DBCF576A}"/>
    <hyperlink ref="A97" r:id="rId389" display="https://github.com/HexHive/magma/tree/master/targets/lua/patches/bugs/LUA004.patch" xr:uid="{3D975863-6FAD-3241-AAEC-168F1484FC75}"/>
    <hyperlink ref="A98" r:id="rId390" display="https://github.com/HexHive/magma/tree/master/targets/lua/patches/bugs/LUA004.patch" xr:uid="{617C4056-F155-A34D-8A47-6E83C01B6B70}"/>
    <hyperlink ref="A99" r:id="rId391" display="https://github.com/HexHive/magma/tree/master/targets/lua/patches/bugs/LUA004.patch" xr:uid="{1D0AF7E5-021E-014C-A946-4387F51DADC4}"/>
    <hyperlink ref="A104" r:id="rId392" display="https://github.com/HexHive/magma/tree/master/targets/openssl/patches/bugs/SSL001.patch" xr:uid="{34CA8C3F-0EE2-3D4E-AA41-4CA388C4C3AF}"/>
    <hyperlink ref="A100" r:id="rId393" display="https://github.com/HexHive/magma/tree/master/targets/lua/patches/bugs/LUA004.patch" xr:uid="{7BC08FFB-DC35-0640-89CE-4F21AC5EC9C5}"/>
    <hyperlink ref="A101" r:id="rId394" display="https://github.com/HexHive/magma/tree/master/targets/lua/patches/bugs/LUA004.patch" xr:uid="{251DD71D-273F-4241-AC13-795DDFCA83C8}"/>
    <hyperlink ref="A102" r:id="rId395" display="https://github.com/HexHive/magma/tree/master/targets/lua/patches/bugs/LUA004.patch" xr:uid="{91F79C2C-1684-FC4E-B60B-7F309B728AC4}"/>
    <hyperlink ref="A103" r:id="rId396" display="https://github.com/HexHive/magma/tree/master/targets/lua/patches/bugs/LUA004.patch" xr:uid="{2DD14A3E-FF68-5746-9A7F-6CF50EF2EF85}"/>
    <hyperlink ref="C95" r:id="rId397" display="https://cve.mitre.org/cgi-bin/cvename.cgi?name=CVE-2020-15945" xr:uid="{DA7001A1-CF27-0840-80B3-604D3BE689D8}"/>
    <hyperlink ref="C96" r:id="rId398" display="https://cve.mitre.org/cgi-bin/cvename.cgi?name=CVE-2020-15945" xr:uid="{E0DC10CB-2873-9B42-AF50-4439664075C1}"/>
    <hyperlink ref="C97" r:id="rId399" display="https://cve.mitre.org/cgi-bin/cvename.cgi?name=CVE-2020-15945" xr:uid="{56DEBDC5-A1CA-5B47-9753-3C258E1FBD98}"/>
    <hyperlink ref="C104" r:id="rId400" display="https://cve.mitre.org/cgi-bin/cvename.cgi?name=CVE-2016-2108" xr:uid="{63DEFA7F-316C-2648-9E8C-819EF75D7104}"/>
    <hyperlink ref="C98" r:id="rId401" display="https://cve.mitre.org/cgi-bin/cvename.cgi?name=CVE-2020-15945" xr:uid="{988C21E2-93E1-284D-9320-3A82CA6A45F8}"/>
    <hyperlink ref="C99" r:id="rId402" display="https://cve.mitre.org/cgi-bin/cvename.cgi?name=CVE-2020-15945" xr:uid="{CD13AF40-5F12-7D4E-A4D4-38BE5D533678}"/>
    <hyperlink ref="C100" r:id="rId403" display="https://cve.mitre.org/cgi-bin/cvename.cgi?name=CVE-2020-15945" xr:uid="{F93DE1E8-DF36-234B-940E-4B373CA2CF4F}"/>
    <hyperlink ref="C101" r:id="rId404" display="https://cve.mitre.org/cgi-bin/cvename.cgi?name=CVE-2020-15945" xr:uid="{40FC0966-9778-6541-B247-CF07D5E9E317}"/>
    <hyperlink ref="C102" r:id="rId405" display="https://cve.mitre.org/cgi-bin/cvename.cgi?name=CVE-2020-15945" xr:uid="{642549CE-506B-4D4D-99A2-42C5A7F7F468}"/>
    <hyperlink ref="C103" r:id="rId406" display="https://cve.mitre.org/cgi-bin/cvename.cgi?name=CVE-2020-15945" xr:uid="{829C12D4-0908-7944-B212-46E979565B24}"/>
  </hyperlinks>
  <pageMargins left="0.7" right="0.7" top="0.75" bottom="0.75" header="0.3" footer="0.3"/>
  <pageSetup orientation="portrait" horizontalDpi="0" verticalDpi="0"/>
  <legacyDrawing r:id="rId4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magma_score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2025-02-01T11:29:46Z</dcterms:created>
  <dcterms:modified xsi:type="dcterms:W3CDTF">2025-05-30T09:43:59Z</dcterms:modified>
</cp:coreProperties>
</file>